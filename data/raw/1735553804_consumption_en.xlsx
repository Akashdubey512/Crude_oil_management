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itKumarDwivediBro\Downloads\"/>
    </mc:Choice>
  </mc:AlternateContent>
  <xr:revisionPtr revIDLastSave="0" documentId="8_{393D4152-DE34-41A4-B423-E0A5BB1E1608}" xr6:coauthVersionLast="47" xr6:coauthVersionMax="47" xr10:uidLastSave="{00000000-0000-0000-0000-000000000000}"/>
  <bookViews>
    <workbookView xWindow="-28920" yWindow="-120" windowWidth="29040" windowHeight="15840" xr2:uid="{55398D7A-2265-4E20-91D3-0059EAB6E7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1" i="1" l="1"/>
  <c r="L21" i="1"/>
  <c r="K21" i="1"/>
  <c r="J21" i="1"/>
  <c r="I21" i="1"/>
  <c r="H21" i="1"/>
  <c r="G21" i="1"/>
  <c r="F21" i="1"/>
  <c r="E21" i="1"/>
  <c r="D21" i="1"/>
  <c r="C21" i="1"/>
  <c r="B21" i="1"/>
  <c r="N20" i="1"/>
  <c r="N19" i="1"/>
  <c r="N18" i="1"/>
  <c r="N17" i="1"/>
  <c r="N16" i="1"/>
  <c r="N15" i="1"/>
  <c r="N14" i="1"/>
  <c r="N13" i="1"/>
  <c r="N12" i="1"/>
  <c r="N11" i="1"/>
  <c r="N10" i="1"/>
  <c r="N9" i="1"/>
  <c r="N21" i="1" s="1"/>
</calcChain>
</file>

<file path=xl/sharedStrings.xml><?xml version="1.0" encoding="utf-8"?>
<sst xmlns="http://schemas.openxmlformats.org/spreadsheetml/2006/main" count="41" uniqueCount="40">
  <si>
    <t>Petroleum Planning &amp; Analysis Cell</t>
  </si>
  <si>
    <t>Annexure-I</t>
  </si>
  <si>
    <t>Period : April-23 to March-24</t>
  </si>
  <si>
    <t>('000 Metric Tonnes)</t>
  </si>
  <si>
    <t>DOMESTIC CONSUMPTION OF PETROLEUM PRODUCTS (P) (as on 30.12.2024)</t>
  </si>
  <si>
    <t>PRODUCTS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</si>
  <si>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</si>
  <si>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</si>
  <si>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</si>
  <si>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</si>
  <si>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</si>
  <si>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</si>
  <si>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</si>
  <si>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</si>
  <si>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</si>
  <si>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</si>
  <si>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</si>
  <si>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</si>
  <si>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TOTAL</t>
  </si>
  <si>
    <t>LPG</t>
  </si>
  <si>
    <t>Naphtha</t>
  </si>
  <si>
    <t>MS</t>
  </si>
  <si>
    <t>ATF</t>
  </si>
  <si>
    <t>SKO</t>
  </si>
  <si>
    <t>HSD</t>
  </si>
  <si>
    <t>LDO</t>
  </si>
  <si>
    <t>Lubricants &amp; Greases</t>
  </si>
  <si>
    <t>FO &amp; LSHS</t>
  </si>
  <si>
    <t>Bitumen</t>
  </si>
  <si>
    <t>Petroleum coke</t>
  </si>
  <si>
    <t>Others</t>
  </si>
  <si>
    <r>
      <t xml:space="preserve">NOTE : </t>
    </r>
    <r>
      <rPr>
        <b/>
        <i/>
        <u/>
        <sz val="14"/>
        <color indexed="8"/>
        <rFont val="Times New Roman"/>
        <family val="1"/>
      </rPr>
      <t>P-Provisional, domestic consumption data as per 'Y2 report for FY2023-24' published on 30.12.2024</t>
    </r>
  </si>
  <si>
    <t xml:space="preserve">i)   All figures are provisional. </t>
  </si>
  <si>
    <t>ii)  The source of information includes Oil Companies, DGCIS &amp; online SEZ data.</t>
  </si>
  <si>
    <t>iii)  The consumption estimates represent market demand and is aggregate of :</t>
  </si>
  <si>
    <t xml:space="preserve">      (a) actual sales by oil companies in domestic market</t>
  </si>
  <si>
    <t xml:space="preserve">      (b) consumption through direct imports by private parties (Private direct imports ) prorated for October-November'24, which may undergo change on receipt of actual data), and</t>
  </si>
  <si>
    <t xml:space="preserve">      (c)  sales by SEZ units in Domestic Tariff Area (DTA) are provisional due to portal upgradation</t>
  </si>
  <si>
    <t>(iv) Domestic POL consumption  for March'24 registered a growth of 1.7% on YoY basis. POL during the month was driven by growth in  LPG at 8.6%, MS at 6.9%,HSD at 2.7%, ATF at 10.1%, SKO at 4.8%, Petroleum coke at 14.4%</t>
  </si>
  <si>
    <t>PS : Monthwise Consumption data from 1998-99 can be accessed under Historical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</si>
</sst>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Times New Roman"/>
      <family val="1"/>
    </font>
    <font>
      <b/>
      <u/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name val="Arial"/>
      <family val="2"/>
    </font>
    <font>
      <b/>
      <sz val="14"/>
      <name val="Times New Roman"/>
      <family val="1"/>
    </font>
    <font>
      <sz val="14"/>
      <color indexed="8"/>
      <name val="Times New Roman"/>
      <family val="1"/>
    </font>
    <font>
      <sz val="14"/>
      <color rgb="FF000000"/>
      <name val="Times New Roman"/>
      <family val="1"/>
    </font>
    <font>
      <b/>
      <i/>
      <u/>
      <sz val="14"/>
      <color indexed="8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14"/>
      <name val="Times New Roman"/>
      <family val="1"/>
    </font>
    <font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DF70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47">
    <xf numFmtId="0" fontId="0" fillId="0" borderId="0" xfId="0"/>
    <xf numFmtId="0" fontId="2" fillId="2" borderId="0" xfId="1" applyFont="1" applyFill="1"/>
    <xf numFmtId="0" fontId="3" fillId="2" borderId="0" xfId="1" applyFont="1" applyFill="1" applyAlignment="1">
      <alignment vertical="top"/>
    </xf>
    <xf numFmtId="0" fontId="4" fillId="2" borderId="0" xfId="1" applyFont="1" applyFill="1" applyAlignment="1">
      <alignment horizontal="right"/>
    </xf>
    <xf numFmtId="0" fontId="5" fillId="2" borderId="0" xfId="1" applyFont="1" applyFill="1"/>
    <xf numFmtId="0" fontId="7" fillId="2" borderId="0" xfId="2" applyFont="1" applyFill="1"/>
    <xf numFmtId="0" fontId="2" fillId="2" borderId="0" xfId="1" applyFont="1" applyFill="1" applyAlignment="1">
      <alignment horizontal="center"/>
    </xf>
    <xf numFmtId="0" fontId="4" fillId="2" borderId="1" xfId="1" applyFont="1" applyFill="1" applyBorder="1" applyAlignment="1">
      <alignment horizontal="right" vertical="top"/>
    </xf>
    <xf numFmtId="0" fontId="4" fillId="2" borderId="2" xfId="1" applyFont="1" applyFill="1" applyBorder="1" applyAlignment="1">
      <alignment horizontal="right" vertical="top"/>
    </xf>
    <xf numFmtId="0" fontId="4" fillId="2" borderId="3" xfId="1" applyFont="1" applyFill="1" applyBorder="1" applyAlignment="1">
      <alignment horizontal="right" vertical="top"/>
    </xf>
    <xf numFmtId="0" fontId="7" fillId="3" borderId="1" xfId="1" applyFont="1" applyFill="1" applyBorder="1" applyAlignment="1">
      <alignment horizontal="center" vertical="top"/>
    </xf>
    <xf numFmtId="0" fontId="7" fillId="3" borderId="2" xfId="1" applyFont="1" applyFill="1" applyBorder="1" applyAlignment="1">
      <alignment horizontal="center" vertical="top"/>
    </xf>
    <xf numFmtId="0" fontId="7" fillId="3" borderId="3" xfId="1" applyFont="1" applyFill="1" applyBorder="1" applyAlignment="1">
      <alignment horizontal="center" vertical="top"/>
    </xf>
    <xf numFmtId="0" fontId="7" fillId="4" borderId="4" xfId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/>
    </xf>
    <xf numFmtId="1" fontId="2" fillId="0" borderId="5" xfId="1" applyNumberFormat="1" applyFont="1" applyBorder="1" applyAlignment="1">
      <alignment horizontal="center" vertical="center"/>
    </xf>
    <xf numFmtId="1" fontId="9" fillId="5" borderId="5" xfId="0" applyNumberFormat="1" applyFont="1" applyFill="1" applyBorder="1" applyAlignment="1">
      <alignment horizontal="center" vertical="center" wrapText="1"/>
    </xf>
    <xf numFmtId="1" fontId="2" fillId="0" borderId="5" xfId="1" applyNumberFormat="1" applyFont="1" applyBorder="1" applyAlignment="1">
      <alignment horizontal="center"/>
    </xf>
    <xf numFmtId="1" fontId="4" fillId="0" borderId="5" xfId="1" applyNumberFormat="1" applyFont="1" applyBorder="1" applyAlignment="1">
      <alignment horizontal="center"/>
    </xf>
    <xf numFmtId="1" fontId="5" fillId="2" borderId="0" xfId="1" applyNumberFormat="1" applyFont="1" applyFill="1"/>
    <xf numFmtId="164" fontId="5" fillId="2" borderId="0" xfId="1" applyNumberFormat="1" applyFont="1" applyFill="1"/>
    <xf numFmtId="1" fontId="9" fillId="5" borderId="6" xfId="0" applyNumberFormat="1" applyFont="1" applyFill="1" applyBorder="1" applyAlignment="1">
      <alignment horizontal="center" wrapText="1"/>
    </xf>
    <xf numFmtId="0" fontId="4" fillId="0" borderId="5" xfId="1" applyFont="1" applyBorder="1" applyAlignment="1">
      <alignment horizontal="left"/>
    </xf>
    <xf numFmtId="0" fontId="4" fillId="2" borderId="7" xfId="1" applyFont="1" applyFill="1" applyBorder="1"/>
    <xf numFmtId="1" fontId="4" fillId="2" borderId="8" xfId="1" applyNumberFormat="1" applyFont="1" applyFill="1" applyBorder="1"/>
    <xf numFmtId="165" fontId="4" fillId="2" borderId="8" xfId="1" applyNumberFormat="1" applyFont="1" applyFill="1" applyBorder="1"/>
    <xf numFmtId="1" fontId="4" fillId="2" borderId="9" xfId="1" applyNumberFormat="1" applyFont="1" applyFill="1" applyBorder="1"/>
    <xf numFmtId="0" fontId="5" fillId="2" borderId="10" xfId="1" applyFont="1" applyFill="1" applyBorder="1"/>
    <xf numFmtId="0" fontId="5" fillId="2" borderId="11" xfId="1" applyFont="1" applyFill="1" applyBorder="1"/>
    <xf numFmtId="164" fontId="11" fillId="2" borderId="0" xfId="1" applyNumberFormat="1" applyFont="1" applyFill="1"/>
    <xf numFmtId="0" fontId="5" fillId="2" borderId="10" xfId="1" applyFont="1" applyFill="1" applyBorder="1" applyAlignment="1">
      <alignment horizontal="left"/>
    </xf>
    <xf numFmtId="0" fontId="5" fillId="2" borderId="0" xfId="1" applyFont="1" applyFill="1" applyAlignment="1">
      <alignment horizontal="left"/>
    </xf>
    <xf numFmtId="0" fontId="5" fillId="2" borderId="11" xfId="1" applyFont="1" applyFill="1" applyBorder="1" applyAlignment="1">
      <alignment horizontal="left"/>
    </xf>
    <xf numFmtId="0" fontId="12" fillId="2" borderId="10" xfId="1" applyFont="1" applyFill="1" applyBorder="1" applyAlignment="1">
      <alignment wrapText="1"/>
    </xf>
    <xf numFmtId="0" fontId="12" fillId="2" borderId="0" xfId="1" applyFont="1" applyFill="1" applyAlignment="1">
      <alignment wrapText="1"/>
    </xf>
    <xf numFmtId="0" fontId="12" fillId="2" borderId="11" xfId="1" applyFont="1" applyFill="1" applyBorder="1" applyAlignment="1">
      <alignment wrapText="1"/>
    </xf>
    <xf numFmtId="0" fontId="13" fillId="2" borderId="10" xfId="1" applyFont="1" applyFill="1" applyBorder="1" applyAlignment="1">
      <alignment horizontal="left" shrinkToFit="1"/>
    </xf>
    <xf numFmtId="0" fontId="13" fillId="2" borderId="0" xfId="1" applyFont="1" applyFill="1" applyAlignment="1">
      <alignment horizontal="left" shrinkToFit="1"/>
    </xf>
    <xf numFmtId="0" fontId="13" fillId="2" borderId="11" xfId="1" applyFont="1" applyFill="1" applyBorder="1" applyAlignment="1">
      <alignment horizontal="left" shrinkToFit="1"/>
    </xf>
    <xf numFmtId="0" fontId="12" fillId="2" borderId="10" xfId="1" applyFont="1" applyFill="1" applyBorder="1" applyAlignment="1">
      <alignment horizontal="left" shrinkToFit="1"/>
    </xf>
    <xf numFmtId="0" fontId="12" fillId="2" borderId="0" xfId="1" applyFont="1" applyFill="1" applyAlignment="1">
      <alignment horizontal="left" shrinkToFit="1"/>
    </xf>
    <xf numFmtId="0" fontId="12" fillId="2" borderId="11" xfId="1" applyFont="1" applyFill="1" applyBorder="1" applyAlignment="1">
      <alignment horizontal="left" shrinkToFit="1"/>
    </xf>
    <xf numFmtId="0" fontId="12" fillId="2" borderId="10" xfId="1" applyFont="1" applyFill="1" applyBorder="1" applyAlignment="1">
      <alignment horizontal="left" wrapText="1" shrinkToFit="1"/>
    </xf>
    <xf numFmtId="0" fontId="12" fillId="2" borderId="0" xfId="1" applyFont="1" applyFill="1" applyAlignment="1">
      <alignment horizontal="left" wrapText="1" shrinkToFit="1"/>
    </xf>
    <xf numFmtId="0" fontId="12" fillId="2" borderId="11" xfId="1" applyFont="1" applyFill="1" applyBorder="1" applyAlignment="1">
      <alignment horizontal="left" wrapText="1" shrinkToFit="1"/>
    </xf>
    <xf numFmtId="0" fontId="4" fillId="2" borderId="5" xfId="1" applyFont="1" applyFill="1" applyBorder="1" applyAlignment="1">
      <alignment horizontal="left"/>
    </xf>
    <xf numFmtId="0" fontId="14" fillId="2" borderId="0" xfId="1" applyFont="1" applyFill="1"/>
  </cellXfs>
  <cellStyles count="3">
    <cellStyle name="Normal" xfId="0" builtinId="0"/>
    <cellStyle name="Normal 16" xfId="1" xr:uid="{748EC780-CB3A-45AF-874A-850EE5DDA9C9}"/>
    <cellStyle name="Normal 4" xfId="2" xr:uid="{A9E405D1-2010-47F9-98A9-9EAC391BF3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</xdr:colOff>
      <xdr:row>0</xdr:row>
      <xdr:rowOff>57150</xdr:rowOff>
    </xdr:from>
    <xdr:to>
      <xdr:col>0</xdr:col>
      <xdr:colOff>9525</xdr:colOff>
      <xdr:row>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E1E6C3-DACB-4DFD-9021-636078703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57150"/>
          <a:ext cx="82867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19050</xdr:rowOff>
    </xdr:from>
    <xdr:to>
      <xdr:col>0</xdr:col>
      <xdr:colOff>835025</xdr:colOff>
      <xdr:row>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02AFA8-831B-4AFE-A02E-280B85CB7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19050"/>
          <a:ext cx="825500" cy="73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1DCCD-E293-4645-A709-20821BEB4134}">
  <dimension ref="A1:IY32"/>
  <sheetViews>
    <sheetView tabSelected="1" workbookViewId="0">
      <selection activeCell="IX15" sqref="IX15"/>
    </sheetView>
  </sheetViews>
  <sheetFormatPr defaultColWidth="0" defaultRowHeight="15.65" customHeight="1" zeroHeight="1" x14ac:dyDescent="0.35"/>
  <cols>
    <col min="1" max="1" width="19.81640625" style="46" customWidth="1"/>
    <col min="2" max="13" width="10.26953125" style="46" customWidth="1"/>
    <col min="14" max="14" width="10.81640625" style="46" customWidth="1"/>
    <col min="15" max="15" width="9.1796875" style="4" customWidth="1"/>
    <col min="16" max="256" width="0" style="4" hidden="1"/>
    <col min="257" max="257" width="19.81640625" style="4" customWidth="1"/>
    <col min="258" max="258" width="19.81640625" style="4" bestFit="1" customWidth="1"/>
    <col min="259" max="268" width="10.26953125" style="4" customWidth="1"/>
    <col min="269" max="269" width="10.81640625" style="4" customWidth="1"/>
    <col min="270" max="270" width="9.1796875" style="4" customWidth="1"/>
    <col min="271" max="511" width="0" style="4" hidden="1"/>
    <col min="512" max="512" width="19.81640625" style="4" customWidth="1"/>
    <col min="513" max="524" width="10.26953125" style="4" customWidth="1"/>
    <col min="525" max="525" width="10.81640625" style="4" customWidth="1"/>
    <col min="526" max="526" width="9.1796875" style="4" customWidth="1"/>
    <col min="527" max="767" width="0" style="4" hidden="1"/>
    <col min="768" max="768" width="19.81640625" style="4" customWidth="1"/>
    <col min="769" max="780" width="10.26953125" style="4" customWidth="1"/>
    <col min="781" max="781" width="10.81640625" style="4" customWidth="1"/>
    <col min="782" max="782" width="9.1796875" style="4" customWidth="1"/>
    <col min="783" max="1023" width="0" style="4" hidden="1"/>
    <col min="1024" max="1024" width="19.81640625" style="4" customWidth="1"/>
    <col min="1025" max="1036" width="10.26953125" style="4" customWidth="1"/>
    <col min="1037" max="1037" width="10.81640625" style="4" customWidth="1"/>
    <col min="1038" max="1038" width="9.1796875" style="4" customWidth="1"/>
    <col min="1039" max="1279" width="0" style="4" hidden="1"/>
    <col min="1280" max="1280" width="19.81640625" style="4" customWidth="1"/>
    <col min="1281" max="1292" width="10.26953125" style="4" customWidth="1"/>
    <col min="1293" max="1293" width="10.81640625" style="4" customWidth="1"/>
    <col min="1294" max="1294" width="9.1796875" style="4" customWidth="1"/>
    <col min="1295" max="1535" width="0" style="4" hidden="1"/>
    <col min="1536" max="1536" width="19.81640625" style="4" customWidth="1"/>
    <col min="1537" max="1548" width="10.26953125" style="4" customWidth="1"/>
    <col min="1549" max="1549" width="10.81640625" style="4" customWidth="1"/>
    <col min="1550" max="1550" width="9.1796875" style="4" customWidth="1"/>
    <col min="1551" max="1791" width="0" style="4" hidden="1"/>
    <col min="1792" max="1792" width="19.81640625" style="4" customWidth="1"/>
    <col min="1793" max="1804" width="10.26953125" style="4" customWidth="1"/>
    <col min="1805" max="1805" width="10.81640625" style="4" customWidth="1"/>
    <col min="1806" max="1806" width="9.1796875" style="4" customWidth="1"/>
    <col min="1807" max="2047" width="0" style="4" hidden="1"/>
    <col min="2048" max="2048" width="19.81640625" style="4" customWidth="1"/>
    <col min="2049" max="2060" width="10.26953125" style="4" customWidth="1"/>
    <col min="2061" max="2061" width="10.81640625" style="4" customWidth="1"/>
    <col min="2062" max="2062" width="9.1796875" style="4" customWidth="1"/>
    <col min="2063" max="2303" width="0" style="4" hidden="1"/>
    <col min="2304" max="2304" width="19.81640625" style="4" customWidth="1"/>
    <col min="2305" max="2316" width="10.26953125" style="4" customWidth="1"/>
    <col min="2317" max="2317" width="10.81640625" style="4" customWidth="1"/>
    <col min="2318" max="2318" width="9.1796875" style="4" customWidth="1"/>
    <col min="2319" max="2559" width="0" style="4" hidden="1"/>
    <col min="2560" max="2560" width="19.81640625" style="4" customWidth="1"/>
    <col min="2561" max="2572" width="10.26953125" style="4" customWidth="1"/>
    <col min="2573" max="2573" width="10.81640625" style="4" customWidth="1"/>
    <col min="2574" max="2574" width="9.1796875" style="4" customWidth="1"/>
    <col min="2575" max="2815" width="0" style="4" hidden="1"/>
    <col min="2816" max="2816" width="19.81640625" style="4" customWidth="1"/>
    <col min="2817" max="2828" width="10.26953125" style="4" customWidth="1"/>
    <col min="2829" max="2829" width="10.81640625" style="4" customWidth="1"/>
    <col min="2830" max="2830" width="9.1796875" style="4" customWidth="1"/>
    <col min="2831" max="3071" width="0" style="4" hidden="1"/>
    <col min="3072" max="3072" width="19.81640625" style="4" customWidth="1"/>
    <col min="3073" max="3084" width="10.26953125" style="4" customWidth="1"/>
    <col min="3085" max="3085" width="10.81640625" style="4" customWidth="1"/>
    <col min="3086" max="3086" width="9.1796875" style="4" customWidth="1"/>
    <col min="3087" max="3327" width="0" style="4" hidden="1"/>
    <col min="3328" max="3328" width="19.81640625" style="4" customWidth="1"/>
    <col min="3329" max="3340" width="10.26953125" style="4" customWidth="1"/>
    <col min="3341" max="3341" width="10.81640625" style="4" customWidth="1"/>
    <col min="3342" max="3342" width="9.1796875" style="4" customWidth="1"/>
    <col min="3343" max="3583" width="0" style="4" hidden="1"/>
    <col min="3584" max="3584" width="19.81640625" style="4" customWidth="1"/>
    <col min="3585" max="3596" width="10.26953125" style="4" customWidth="1"/>
    <col min="3597" max="3597" width="10.81640625" style="4" customWidth="1"/>
    <col min="3598" max="3598" width="9.1796875" style="4" customWidth="1"/>
    <col min="3599" max="3839" width="0" style="4" hidden="1"/>
    <col min="3840" max="3840" width="19.81640625" style="4" customWidth="1"/>
    <col min="3841" max="3852" width="10.26953125" style="4" customWidth="1"/>
    <col min="3853" max="3853" width="10.81640625" style="4" customWidth="1"/>
    <col min="3854" max="3854" width="9.1796875" style="4" customWidth="1"/>
    <col min="3855" max="4095" width="0" style="4" hidden="1"/>
    <col min="4096" max="4096" width="19.81640625" style="4" customWidth="1"/>
    <col min="4097" max="4108" width="10.26953125" style="4" customWidth="1"/>
    <col min="4109" max="4109" width="10.81640625" style="4" customWidth="1"/>
    <col min="4110" max="4110" width="9.1796875" style="4" customWidth="1"/>
    <col min="4111" max="4351" width="0" style="4" hidden="1"/>
    <col min="4352" max="4352" width="19.81640625" style="4" customWidth="1"/>
    <col min="4353" max="4364" width="10.26953125" style="4" customWidth="1"/>
    <col min="4365" max="4365" width="10.81640625" style="4" customWidth="1"/>
    <col min="4366" max="4366" width="9.1796875" style="4" customWidth="1"/>
    <col min="4367" max="4607" width="0" style="4" hidden="1"/>
    <col min="4608" max="4608" width="19.81640625" style="4" customWidth="1"/>
    <col min="4609" max="4620" width="10.26953125" style="4" customWidth="1"/>
    <col min="4621" max="4621" width="10.81640625" style="4" customWidth="1"/>
    <col min="4622" max="4622" width="9.1796875" style="4" customWidth="1"/>
    <col min="4623" max="4863" width="0" style="4" hidden="1"/>
    <col min="4864" max="4864" width="19.81640625" style="4" customWidth="1"/>
    <col min="4865" max="4876" width="10.26953125" style="4" customWidth="1"/>
    <col min="4877" max="4877" width="10.81640625" style="4" customWidth="1"/>
    <col min="4878" max="4878" width="9.1796875" style="4" customWidth="1"/>
    <col min="4879" max="5119" width="0" style="4" hidden="1"/>
    <col min="5120" max="5120" width="19.81640625" style="4" customWidth="1"/>
    <col min="5121" max="5132" width="10.26953125" style="4" customWidth="1"/>
    <col min="5133" max="5133" width="10.81640625" style="4" customWidth="1"/>
    <col min="5134" max="5134" width="9.1796875" style="4" customWidth="1"/>
    <col min="5135" max="5375" width="0" style="4" hidden="1"/>
    <col min="5376" max="5376" width="19.81640625" style="4" customWidth="1"/>
    <col min="5377" max="5388" width="10.26953125" style="4" customWidth="1"/>
    <col min="5389" max="5389" width="10.81640625" style="4" customWidth="1"/>
    <col min="5390" max="5390" width="9.1796875" style="4" customWidth="1"/>
    <col min="5391" max="5631" width="0" style="4" hidden="1"/>
    <col min="5632" max="5632" width="19.81640625" style="4" customWidth="1"/>
    <col min="5633" max="5644" width="10.26953125" style="4" customWidth="1"/>
    <col min="5645" max="5645" width="10.81640625" style="4" customWidth="1"/>
    <col min="5646" max="5646" width="9.1796875" style="4" customWidth="1"/>
    <col min="5647" max="5887" width="0" style="4" hidden="1"/>
    <col min="5888" max="5888" width="19.81640625" style="4" customWidth="1"/>
    <col min="5889" max="5900" width="10.26953125" style="4" customWidth="1"/>
    <col min="5901" max="5901" width="10.81640625" style="4" customWidth="1"/>
    <col min="5902" max="5902" width="9.1796875" style="4" customWidth="1"/>
    <col min="5903" max="6143" width="0" style="4" hidden="1"/>
    <col min="6144" max="6144" width="19.81640625" style="4" customWidth="1"/>
    <col min="6145" max="6156" width="10.26953125" style="4" customWidth="1"/>
    <col min="6157" max="6157" width="10.81640625" style="4" customWidth="1"/>
    <col min="6158" max="6158" width="9.1796875" style="4" customWidth="1"/>
    <col min="6159" max="6399" width="0" style="4" hidden="1"/>
    <col min="6400" max="6400" width="19.81640625" style="4" customWidth="1"/>
    <col min="6401" max="6412" width="10.26953125" style="4" customWidth="1"/>
    <col min="6413" max="6413" width="10.81640625" style="4" customWidth="1"/>
    <col min="6414" max="6414" width="9.1796875" style="4" customWidth="1"/>
    <col min="6415" max="6655" width="0" style="4" hidden="1"/>
    <col min="6656" max="6656" width="19.81640625" style="4" customWidth="1"/>
    <col min="6657" max="6668" width="10.26953125" style="4" customWidth="1"/>
    <col min="6669" max="6669" width="10.81640625" style="4" customWidth="1"/>
    <col min="6670" max="6670" width="9.1796875" style="4" customWidth="1"/>
    <col min="6671" max="6911" width="0" style="4" hidden="1"/>
    <col min="6912" max="6912" width="19.81640625" style="4" customWidth="1"/>
    <col min="6913" max="6924" width="10.26953125" style="4" customWidth="1"/>
    <col min="6925" max="6925" width="10.81640625" style="4" customWidth="1"/>
    <col min="6926" max="6926" width="9.1796875" style="4" customWidth="1"/>
    <col min="6927" max="7167" width="0" style="4" hidden="1"/>
    <col min="7168" max="7168" width="19.81640625" style="4" customWidth="1"/>
    <col min="7169" max="7180" width="10.26953125" style="4" customWidth="1"/>
    <col min="7181" max="7181" width="10.81640625" style="4" customWidth="1"/>
    <col min="7182" max="7182" width="9.1796875" style="4" customWidth="1"/>
    <col min="7183" max="7423" width="0" style="4" hidden="1"/>
    <col min="7424" max="7424" width="19.81640625" style="4" customWidth="1"/>
    <col min="7425" max="7436" width="10.26953125" style="4" customWidth="1"/>
    <col min="7437" max="7437" width="10.81640625" style="4" customWidth="1"/>
    <col min="7438" max="7438" width="9.1796875" style="4" customWidth="1"/>
    <col min="7439" max="7679" width="0" style="4" hidden="1"/>
    <col min="7680" max="7680" width="19.81640625" style="4" customWidth="1"/>
    <col min="7681" max="7692" width="10.26953125" style="4" customWidth="1"/>
    <col min="7693" max="7693" width="10.81640625" style="4" customWidth="1"/>
    <col min="7694" max="7694" width="9.1796875" style="4" customWidth="1"/>
    <col min="7695" max="7935" width="0" style="4" hidden="1"/>
    <col min="7936" max="7936" width="19.81640625" style="4" customWidth="1"/>
    <col min="7937" max="7948" width="10.26953125" style="4" customWidth="1"/>
    <col min="7949" max="7949" width="10.81640625" style="4" customWidth="1"/>
    <col min="7950" max="7950" width="9.1796875" style="4" customWidth="1"/>
    <col min="7951" max="8191" width="0" style="4" hidden="1"/>
    <col min="8192" max="8192" width="19.81640625" style="4" customWidth="1"/>
    <col min="8193" max="8204" width="10.26953125" style="4" customWidth="1"/>
    <col min="8205" max="8205" width="10.81640625" style="4" customWidth="1"/>
    <col min="8206" max="8206" width="9.1796875" style="4" customWidth="1"/>
    <col min="8207" max="8447" width="0" style="4" hidden="1"/>
    <col min="8448" max="8448" width="19.81640625" style="4" customWidth="1"/>
    <col min="8449" max="8460" width="10.26953125" style="4" customWidth="1"/>
    <col min="8461" max="8461" width="10.81640625" style="4" customWidth="1"/>
    <col min="8462" max="8462" width="9.1796875" style="4" customWidth="1"/>
    <col min="8463" max="8703" width="0" style="4" hidden="1"/>
    <col min="8704" max="8704" width="19.81640625" style="4" customWidth="1"/>
    <col min="8705" max="8716" width="10.26953125" style="4" customWidth="1"/>
    <col min="8717" max="8717" width="10.81640625" style="4" customWidth="1"/>
    <col min="8718" max="8718" width="9.1796875" style="4" customWidth="1"/>
    <col min="8719" max="8959" width="0" style="4" hidden="1"/>
    <col min="8960" max="8960" width="19.81640625" style="4" customWidth="1"/>
    <col min="8961" max="8972" width="10.26953125" style="4" customWidth="1"/>
    <col min="8973" max="8973" width="10.81640625" style="4" customWidth="1"/>
    <col min="8974" max="8974" width="9.1796875" style="4" customWidth="1"/>
    <col min="8975" max="9215" width="0" style="4" hidden="1"/>
    <col min="9216" max="9216" width="19.81640625" style="4" customWidth="1"/>
    <col min="9217" max="9228" width="10.26953125" style="4" customWidth="1"/>
    <col min="9229" max="9229" width="10.81640625" style="4" customWidth="1"/>
    <col min="9230" max="9230" width="9.1796875" style="4" customWidth="1"/>
    <col min="9231" max="9471" width="0" style="4" hidden="1"/>
    <col min="9472" max="9472" width="19.81640625" style="4" customWidth="1"/>
    <col min="9473" max="9484" width="10.26953125" style="4" customWidth="1"/>
    <col min="9485" max="9485" width="10.81640625" style="4" customWidth="1"/>
    <col min="9486" max="9486" width="9.1796875" style="4" customWidth="1"/>
    <col min="9487" max="9727" width="0" style="4" hidden="1"/>
    <col min="9728" max="9728" width="19.81640625" style="4" customWidth="1"/>
    <col min="9729" max="9740" width="10.26953125" style="4" customWidth="1"/>
    <col min="9741" max="9741" width="10.81640625" style="4" customWidth="1"/>
    <col min="9742" max="9742" width="9.1796875" style="4" customWidth="1"/>
    <col min="9743" max="9983" width="0" style="4" hidden="1"/>
    <col min="9984" max="9984" width="19.81640625" style="4" customWidth="1"/>
    <col min="9985" max="9996" width="10.26953125" style="4" customWidth="1"/>
    <col min="9997" max="9997" width="10.81640625" style="4" customWidth="1"/>
    <col min="9998" max="9998" width="9.1796875" style="4" customWidth="1"/>
    <col min="9999" max="10239" width="0" style="4" hidden="1"/>
    <col min="10240" max="10240" width="19.81640625" style="4" customWidth="1"/>
    <col min="10241" max="10252" width="10.26953125" style="4" customWidth="1"/>
    <col min="10253" max="10253" width="10.81640625" style="4" customWidth="1"/>
    <col min="10254" max="10254" width="9.1796875" style="4" customWidth="1"/>
    <col min="10255" max="10495" width="0" style="4" hidden="1"/>
    <col min="10496" max="10496" width="19.81640625" style="4" customWidth="1"/>
    <col min="10497" max="10508" width="10.26953125" style="4" customWidth="1"/>
    <col min="10509" max="10509" width="10.81640625" style="4" customWidth="1"/>
    <col min="10510" max="10510" width="9.1796875" style="4" customWidth="1"/>
    <col min="10511" max="10751" width="0" style="4" hidden="1"/>
    <col min="10752" max="10752" width="19.81640625" style="4" customWidth="1"/>
    <col min="10753" max="10764" width="10.26953125" style="4" customWidth="1"/>
    <col min="10765" max="10765" width="10.81640625" style="4" customWidth="1"/>
    <col min="10766" max="10766" width="9.1796875" style="4" customWidth="1"/>
    <col min="10767" max="11007" width="0" style="4" hidden="1"/>
    <col min="11008" max="11008" width="19.81640625" style="4" customWidth="1"/>
    <col min="11009" max="11020" width="10.26953125" style="4" customWidth="1"/>
    <col min="11021" max="11021" width="10.81640625" style="4" customWidth="1"/>
    <col min="11022" max="11022" width="9.1796875" style="4" customWidth="1"/>
    <col min="11023" max="11263" width="0" style="4" hidden="1"/>
    <col min="11264" max="11264" width="19.81640625" style="4" customWidth="1"/>
    <col min="11265" max="11276" width="10.26953125" style="4" customWidth="1"/>
    <col min="11277" max="11277" width="10.81640625" style="4" customWidth="1"/>
    <col min="11278" max="11278" width="9.1796875" style="4" customWidth="1"/>
    <col min="11279" max="11519" width="0" style="4" hidden="1"/>
    <col min="11520" max="11520" width="19.81640625" style="4" customWidth="1"/>
    <col min="11521" max="11532" width="10.26953125" style="4" customWidth="1"/>
    <col min="11533" max="11533" width="10.81640625" style="4" customWidth="1"/>
    <col min="11534" max="11534" width="9.1796875" style="4" customWidth="1"/>
    <col min="11535" max="11775" width="0" style="4" hidden="1"/>
    <col min="11776" max="11776" width="19.81640625" style="4" customWidth="1"/>
    <col min="11777" max="11788" width="10.26953125" style="4" customWidth="1"/>
    <col min="11789" max="11789" width="10.81640625" style="4" customWidth="1"/>
    <col min="11790" max="11790" width="9.1796875" style="4" customWidth="1"/>
    <col min="11791" max="12031" width="0" style="4" hidden="1"/>
    <col min="12032" max="12032" width="19.81640625" style="4" customWidth="1"/>
    <col min="12033" max="12044" width="10.26953125" style="4" customWidth="1"/>
    <col min="12045" max="12045" width="10.81640625" style="4" customWidth="1"/>
    <col min="12046" max="12046" width="9.1796875" style="4" customWidth="1"/>
    <col min="12047" max="12287" width="0" style="4" hidden="1"/>
    <col min="12288" max="12288" width="19.81640625" style="4" customWidth="1"/>
    <col min="12289" max="12300" width="10.26953125" style="4" customWidth="1"/>
    <col min="12301" max="12301" width="10.81640625" style="4" customWidth="1"/>
    <col min="12302" max="12302" width="9.1796875" style="4" customWidth="1"/>
    <col min="12303" max="12543" width="0" style="4" hidden="1"/>
    <col min="12544" max="12544" width="19.81640625" style="4" customWidth="1"/>
    <col min="12545" max="12556" width="10.26953125" style="4" customWidth="1"/>
    <col min="12557" max="12557" width="10.81640625" style="4" customWidth="1"/>
    <col min="12558" max="12558" width="9.1796875" style="4" customWidth="1"/>
    <col min="12559" max="12799" width="0" style="4" hidden="1"/>
    <col min="12800" max="12800" width="19.81640625" style="4" customWidth="1"/>
    <col min="12801" max="12812" width="10.26953125" style="4" customWidth="1"/>
    <col min="12813" max="12813" width="10.81640625" style="4" customWidth="1"/>
    <col min="12814" max="12814" width="9.1796875" style="4" customWidth="1"/>
    <col min="12815" max="13055" width="0" style="4" hidden="1"/>
    <col min="13056" max="13056" width="19.81640625" style="4" customWidth="1"/>
    <col min="13057" max="13068" width="10.26953125" style="4" customWidth="1"/>
    <col min="13069" max="13069" width="10.81640625" style="4" customWidth="1"/>
    <col min="13070" max="13070" width="9.1796875" style="4" customWidth="1"/>
    <col min="13071" max="13311" width="0" style="4" hidden="1"/>
    <col min="13312" max="13312" width="19.81640625" style="4" customWidth="1"/>
    <col min="13313" max="13324" width="10.26953125" style="4" customWidth="1"/>
    <col min="13325" max="13325" width="10.81640625" style="4" customWidth="1"/>
    <col min="13326" max="13326" width="9.1796875" style="4" customWidth="1"/>
    <col min="13327" max="13567" width="0" style="4" hidden="1"/>
    <col min="13568" max="13568" width="19.81640625" style="4" customWidth="1"/>
    <col min="13569" max="13580" width="10.26953125" style="4" customWidth="1"/>
    <col min="13581" max="13581" width="10.81640625" style="4" customWidth="1"/>
    <col min="13582" max="13582" width="9.1796875" style="4" customWidth="1"/>
    <col min="13583" max="13823" width="0" style="4" hidden="1"/>
    <col min="13824" max="13824" width="19.81640625" style="4" customWidth="1"/>
    <col min="13825" max="13836" width="10.26953125" style="4" customWidth="1"/>
    <col min="13837" max="13837" width="10.81640625" style="4" customWidth="1"/>
    <col min="13838" max="13838" width="9.1796875" style="4" customWidth="1"/>
    <col min="13839" max="14079" width="0" style="4" hidden="1"/>
    <col min="14080" max="14080" width="19.81640625" style="4" customWidth="1"/>
    <col min="14081" max="14092" width="10.26953125" style="4" customWidth="1"/>
    <col min="14093" max="14093" width="10.81640625" style="4" customWidth="1"/>
    <col min="14094" max="14094" width="9.1796875" style="4" customWidth="1"/>
    <col min="14095" max="14335" width="0" style="4" hidden="1"/>
    <col min="14336" max="14336" width="19.81640625" style="4" customWidth="1"/>
    <col min="14337" max="14348" width="10.26953125" style="4" customWidth="1"/>
    <col min="14349" max="14349" width="10.81640625" style="4" customWidth="1"/>
    <col min="14350" max="14350" width="9.1796875" style="4" customWidth="1"/>
    <col min="14351" max="14591" width="0" style="4" hidden="1"/>
    <col min="14592" max="14592" width="19.81640625" style="4" customWidth="1"/>
    <col min="14593" max="14604" width="10.26953125" style="4" customWidth="1"/>
    <col min="14605" max="14605" width="10.81640625" style="4" customWidth="1"/>
    <col min="14606" max="14606" width="9.1796875" style="4" customWidth="1"/>
    <col min="14607" max="14847" width="0" style="4" hidden="1"/>
    <col min="14848" max="14848" width="19.81640625" style="4" customWidth="1"/>
    <col min="14849" max="14860" width="10.26953125" style="4" customWidth="1"/>
    <col min="14861" max="14861" width="10.81640625" style="4" customWidth="1"/>
    <col min="14862" max="14862" width="9.1796875" style="4" customWidth="1"/>
    <col min="14863" max="15103" width="0" style="4" hidden="1"/>
    <col min="15104" max="15104" width="19.81640625" style="4" customWidth="1"/>
    <col min="15105" max="15116" width="10.26953125" style="4" customWidth="1"/>
    <col min="15117" max="15117" width="10.81640625" style="4" customWidth="1"/>
    <col min="15118" max="15118" width="9.1796875" style="4" customWidth="1"/>
    <col min="15119" max="15359" width="0" style="4" hidden="1"/>
    <col min="15360" max="15360" width="19.81640625" style="4" customWidth="1"/>
    <col min="15361" max="15372" width="10.26953125" style="4" customWidth="1"/>
    <col min="15373" max="15373" width="10.81640625" style="4" customWidth="1"/>
    <col min="15374" max="15374" width="9.1796875" style="4" customWidth="1"/>
    <col min="15375" max="15615" width="0" style="4" hidden="1"/>
    <col min="15616" max="15616" width="19.81640625" style="4" customWidth="1"/>
    <col min="15617" max="15628" width="10.26953125" style="4" customWidth="1"/>
    <col min="15629" max="15629" width="10.81640625" style="4" customWidth="1"/>
    <col min="15630" max="15630" width="9.1796875" style="4" customWidth="1"/>
    <col min="15631" max="15871" width="0" style="4" hidden="1"/>
    <col min="15872" max="15872" width="19.81640625" style="4" customWidth="1"/>
    <col min="15873" max="15884" width="10.26953125" style="4" customWidth="1"/>
    <col min="15885" max="15885" width="10.81640625" style="4" customWidth="1"/>
    <col min="15886" max="15886" width="9.1796875" style="4" customWidth="1"/>
    <col min="15887" max="16127" width="0" style="4" hidden="1"/>
    <col min="16128" max="16128" width="19.81640625" style="4" customWidth="1"/>
    <col min="16129" max="16140" width="10.26953125" style="4" customWidth="1"/>
    <col min="16141" max="16141" width="10.81640625" style="4" customWidth="1"/>
    <col min="16142" max="16142" width="9.1796875" style="4" customWidth="1"/>
    <col min="16143" max="16384" width="0" style="4" hidden="1"/>
  </cols>
  <sheetData>
    <row r="1" spans="1:259" ht="18" x14ac:dyDescent="0.4">
      <c r="A1" s="1"/>
      <c r="B1" s="2" t="s">
        <v>0</v>
      </c>
      <c r="C1" s="1"/>
      <c r="D1" s="2"/>
      <c r="E1" s="2"/>
      <c r="F1" s="2"/>
      <c r="G1" s="2"/>
      <c r="H1" s="2"/>
      <c r="I1" s="1"/>
      <c r="J1" s="1"/>
      <c r="K1" s="1"/>
      <c r="L1" s="1"/>
      <c r="M1" s="3" t="s">
        <v>1</v>
      </c>
      <c r="N1" s="3"/>
    </row>
    <row r="2" spans="1:259" ht="18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259" ht="18" x14ac:dyDescent="0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259" ht="18" x14ac:dyDescent="0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259" ht="18" x14ac:dyDescent="0.4">
      <c r="A5" s="5" t="s">
        <v>2</v>
      </c>
      <c r="B5" s="6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259" ht="17.5" x14ac:dyDescent="0.3">
      <c r="A6" s="7" t="s">
        <v>3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9"/>
    </row>
    <row r="7" spans="1:259" ht="17.5" x14ac:dyDescent="0.3">
      <c r="A7" s="10" t="s">
        <v>4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2"/>
    </row>
    <row r="8" spans="1:259" ht="17.5" x14ac:dyDescent="0.3">
      <c r="A8" s="13" t="s">
        <v>5</v>
      </c>
      <c r="B8" s="13" t="s">
        <v>6</v>
      </c>
      <c r="C8" s="13" t="s">
        <v>7</v>
      </c>
      <c r="D8" s="13" t="s">
        <v>8</v>
      </c>
      <c r="E8" s="13" t="s">
        <v>9</v>
      </c>
      <c r="F8" s="13" t="s">
        <v>10</v>
      </c>
      <c r="G8" s="13" t="s">
        <v>11</v>
      </c>
      <c r="H8" s="13" t="s">
        <v>12</v>
      </c>
      <c r="I8" s="13" t="s">
        <v>13</v>
      </c>
      <c r="J8" s="13" t="s">
        <v>14</v>
      </c>
      <c r="K8" s="13" t="s">
        <v>15</v>
      </c>
      <c r="L8" s="13" t="s">
        <v>16</v>
      </c>
      <c r="M8" s="13" t="s">
        <v>17</v>
      </c>
      <c r="N8" s="13" t="s">
        <v>18</v>
      </c>
    </row>
    <row r="9" spans="1:259" ht="18" x14ac:dyDescent="0.4">
      <c r="A9" s="14" t="s">
        <v>19</v>
      </c>
      <c r="B9" s="15">
        <v>2154.3000000000002</v>
      </c>
      <c r="C9" s="15">
        <v>2347.11</v>
      </c>
      <c r="D9" s="16">
        <v>2232.86</v>
      </c>
      <c r="E9" s="16">
        <v>2389.5700000000002</v>
      </c>
      <c r="F9" s="16">
        <v>2460.41</v>
      </c>
      <c r="G9" s="15">
        <v>2551.11</v>
      </c>
      <c r="H9" s="15">
        <v>2495.7199999999998</v>
      </c>
      <c r="I9" s="17">
        <v>2486.52</v>
      </c>
      <c r="J9" s="17">
        <v>2628.25</v>
      </c>
      <c r="K9" s="17">
        <v>2697.61</v>
      </c>
      <c r="L9" s="17">
        <v>2607.69</v>
      </c>
      <c r="M9" s="17">
        <v>2612.46</v>
      </c>
      <c r="N9" s="18">
        <f>SUM(B9:M9)</f>
        <v>29663.61</v>
      </c>
      <c r="O9" s="19"/>
      <c r="P9" s="19"/>
      <c r="Q9" s="20"/>
      <c r="IY9" s="20"/>
    </row>
    <row r="10" spans="1:259" ht="18" x14ac:dyDescent="0.4">
      <c r="A10" s="14" t="s">
        <v>20</v>
      </c>
      <c r="B10" s="15">
        <v>1112.6099999999999</v>
      </c>
      <c r="C10" s="15">
        <v>1156.8699999999999</v>
      </c>
      <c r="D10" s="16">
        <v>1057.4000000000001</v>
      </c>
      <c r="E10" s="16">
        <v>1043.8699999999999</v>
      </c>
      <c r="F10" s="16">
        <v>1206.06</v>
      </c>
      <c r="G10" s="15">
        <v>1026.57</v>
      </c>
      <c r="H10" s="15">
        <v>1188.07</v>
      </c>
      <c r="I10" s="21">
        <v>1047.24</v>
      </c>
      <c r="J10" s="21">
        <v>1384.96</v>
      </c>
      <c r="K10" s="21">
        <v>1311.51</v>
      </c>
      <c r="L10" s="21">
        <v>1142.27</v>
      </c>
      <c r="M10" s="21">
        <v>1134.6400000000001</v>
      </c>
      <c r="N10" s="18">
        <f t="shared" ref="N10:N20" si="0">SUM(B10:M10)</f>
        <v>13812.069999999998</v>
      </c>
      <c r="O10" s="19"/>
      <c r="IY10" s="20"/>
    </row>
    <row r="11" spans="1:259" ht="18" x14ac:dyDescent="0.4">
      <c r="A11" s="14" t="s">
        <v>21</v>
      </c>
      <c r="B11" s="15">
        <v>2877.18</v>
      </c>
      <c r="C11" s="15">
        <v>3349.63</v>
      </c>
      <c r="D11" s="16">
        <v>3151.77</v>
      </c>
      <c r="E11" s="16">
        <v>2983.66</v>
      </c>
      <c r="F11" s="16">
        <v>3093.25</v>
      </c>
      <c r="G11" s="15">
        <v>3058.14</v>
      </c>
      <c r="H11" s="15">
        <v>3140.4</v>
      </c>
      <c r="I11" s="17">
        <v>3129.24</v>
      </c>
      <c r="J11" s="17">
        <v>2989.78</v>
      </c>
      <c r="K11" s="17">
        <v>3100.22</v>
      </c>
      <c r="L11" s="17">
        <v>3022.6</v>
      </c>
      <c r="M11" s="17">
        <v>3323.51</v>
      </c>
      <c r="N11" s="18">
        <f t="shared" si="0"/>
        <v>37219.380000000005</v>
      </c>
      <c r="O11" s="19"/>
      <c r="IY11" s="20"/>
    </row>
    <row r="12" spans="1:259" ht="18" x14ac:dyDescent="0.4">
      <c r="A12" s="14" t="s">
        <v>22</v>
      </c>
      <c r="B12" s="15">
        <v>655.98</v>
      </c>
      <c r="C12" s="15">
        <v>670.58</v>
      </c>
      <c r="D12" s="16">
        <v>642.33000000000004</v>
      </c>
      <c r="E12" s="16">
        <v>663.23</v>
      </c>
      <c r="F12" s="16">
        <v>676.75</v>
      </c>
      <c r="G12" s="15">
        <v>657.26</v>
      </c>
      <c r="H12" s="15">
        <v>691.93</v>
      </c>
      <c r="I12" s="17">
        <v>689.68</v>
      </c>
      <c r="J12" s="17">
        <v>719.62</v>
      </c>
      <c r="K12" s="17">
        <v>716.68</v>
      </c>
      <c r="L12" s="17">
        <v>705.13</v>
      </c>
      <c r="M12" s="17">
        <v>757.87</v>
      </c>
      <c r="N12" s="18">
        <f t="shared" si="0"/>
        <v>8247.0400000000009</v>
      </c>
      <c r="O12" s="19"/>
      <c r="IY12" s="20"/>
    </row>
    <row r="13" spans="1:259" ht="18" x14ac:dyDescent="0.4">
      <c r="A13" s="14" t="s">
        <v>23</v>
      </c>
      <c r="B13" s="15">
        <v>30.35</v>
      </c>
      <c r="C13" s="15">
        <v>41.52</v>
      </c>
      <c r="D13" s="16">
        <v>51.11</v>
      </c>
      <c r="E13" s="16">
        <v>49.87</v>
      </c>
      <c r="F13" s="16">
        <v>52</v>
      </c>
      <c r="G13" s="15">
        <v>31.74</v>
      </c>
      <c r="H13" s="15">
        <v>33.64</v>
      </c>
      <c r="I13" s="17">
        <v>44.62</v>
      </c>
      <c r="J13" s="17">
        <v>40.67</v>
      </c>
      <c r="K13" s="17">
        <v>35.799999999999997</v>
      </c>
      <c r="L13" s="17">
        <v>36.11</v>
      </c>
      <c r="M13" s="17">
        <v>31.65</v>
      </c>
      <c r="N13" s="18">
        <f t="shared" si="0"/>
        <v>479.08</v>
      </c>
      <c r="O13" s="19"/>
      <c r="P13" s="19"/>
      <c r="Q13" s="20"/>
      <c r="IY13" s="20"/>
    </row>
    <row r="14" spans="1:259" ht="18" x14ac:dyDescent="0.4">
      <c r="A14" s="14" t="s">
        <v>24</v>
      </c>
      <c r="B14" s="15">
        <v>7818.33</v>
      </c>
      <c r="C14" s="15">
        <v>8217.11</v>
      </c>
      <c r="D14" s="16">
        <v>7905.74</v>
      </c>
      <c r="E14" s="16">
        <v>6885.45</v>
      </c>
      <c r="F14" s="16">
        <v>6669.83</v>
      </c>
      <c r="G14" s="15">
        <v>6493.1</v>
      </c>
      <c r="H14" s="15">
        <v>7634.16</v>
      </c>
      <c r="I14" s="17">
        <v>7525.03</v>
      </c>
      <c r="J14" s="17">
        <v>7603.29</v>
      </c>
      <c r="K14" s="17">
        <v>7424.36</v>
      </c>
      <c r="L14" s="17">
        <v>7442.68</v>
      </c>
      <c r="M14" s="17">
        <v>8007.1</v>
      </c>
      <c r="N14" s="18">
        <f t="shared" si="0"/>
        <v>89626.18</v>
      </c>
      <c r="O14" s="19"/>
      <c r="IY14" s="20"/>
    </row>
    <row r="15" spans="1:259" ht="18" x14ac:dyDescent="0.4">
      <c r="A15" s="14" t="s">
        <v>25</v>
      </c>
      <c r="B15" s="15">
        <v>60.71</v>
      </c>
      <c r="C15" s="15">
        <v>69.27</v>
      </c>
      <c r="D15" s="16">
        <v>66.14</v>
      </c>
      <c r="E15" s="16">
        <v>62.51</v>
      </c>
      <c r="F15" s="16">
        <v>75.5</v>
      </c>
      <c r="G15" s="15">
        <v>62.52</v>
      </c>
      <c r="H15" s="15">
        <v>67.3</v>
      </c>
      <c r="I15" s="17">
        <v>54.45</v>
      </c>
      <c r="J15" s="17">
        <v>66.37</v>
      </c>
      <c r="K15" s="17">
        <v>67.81</v>
      </c>
      <c r="L15" s="17">
        <v>62.55</v>
      </c>
      <c r="M15" s="17">
        <v>66.77</v>
      </c>
      <c r="N15" s="18">
        <f t="shared" si="0"/>
        <v>781.89999999999986</v>
      </c>
      <c r="O15" s="19"/>
      <c r="IY15" s="20"/>
    </row>
    <row r="16" spans="1:259" ht="18" x14ac:dyDescent="0.4">
      <c r="A16" s="14" t="s">
        <v>26</v>
      </c>
      <c r="B16" s="15">
        <v>273.70999999999998</v>
      </c>
      <c r="C16" s="15">
        <v>322.95</v>
      </c>
      <c r="D16" s="16">
        <v>318.70999999999998</v>
      </c>
      <c r="E16" s="16">
        <v>410.04</v>
      </c>
      <c r="F16" s="16">
        <v>326.04000000000002</v>
      </c>
      <c r="G16" s="15">
        <v>340.05</v>
      </c>
      <c r="H16" s="15">
        <v>319.70999999999998</v>
      </c>
      <c r="I16" s="17">
        <v>352.79</v>
      </c>
      <c r="J16" s="17">
        <v>389.88</v>
      </c>
      <c r="K16" s="17">
        <v>320.98</v>
      </c>
      <c r="L16" s="17">
        <v>335.9</v>
      </c>
      <c r="M16" s="17">
        <v>376.44</v>
      </c>
      <c r="N16" s="18">
        <f t="shared" si="0"/>
        <v>4087.2</v>
      </c>
      <c r="O16" s="19"/>
      <c r="IY16" s="20"/>
    </row>
    <row r="17" spans="1:259" ht="18" x14ac:dyDescent="0.4">
      <c r="A17" s="14" t="s">
        <v>27</v>
      </c>
      <c r="B17" s="15">
        <v>584.66</v>
      </c>
      <c r="C17" s="15">
        <v>599.54</v>
      </c>
      <c r="D17" s="16">
        <v>511.03</v>
      </c>
      <c r="E17" s="16">
        <v>561.84</v>
      </c>
      <c r="F17" s="16">
        <v>509.48</v>
      </c>
      <c r="G17" s="15">
        <v>538.11</v>
      </c>
      <c r="H17" s="15">
        <v>524.51</v>
      </c>
      <c r="I17" s="17">
        <v>513.21</v>
      </c>
      <c r="J17" s="17">
        <v>565.16999999999996</v>
      </c>
      <c r="K17" s="17">
        <v>561.98</v>
      </c>
      <c r="L17" s="17">
        <v>523.45000000000005</v>
      </c>
      <c r="M17" s="17">
        <v>527.44000000000005</v>
      </c>
      <c r="N17" s="18">
        <f t="shared" si="0"/>
        <v>6520.42</v>
      </c>
      <c r="O17" s="19"/>
      <c r="IY17" s="20"/>
    </row>
    <row r="18" spans="1:259" ht="18" x14ac:dyDescent="0.4">
      <c r="A18" s="14" t="s">
        <v>28</v>
      </c>
      <c r="B18" s="15">
        <v>877.78</v>
      </c>
      <c r="C18" s="15">
        <v>863.68</v>
      </c>
      <c r="D18" s="16">
        <v>751.98</v>
      </c>
      <c r="E18" s="16">
        <v>513.63</v>
      </c>
      <c r="F18" s="16">
        <v>500.82</v>
      </c>
      <c r="G18" s="15">
        <v>499.02</v>
      </c>
      <c r="H18" s="15">
        <v>747.19</v>
      </c>
      <c r="I18" s="17">
        <v>623.69000000000005</v>
      </c>
      <c r="J18" s="17">
        <v>742.72</v>
      </c>
      <c r="K18" s="17">
        <v>753.78</v>
      </c>
      <c r="L18" s="17">
        <v>881.66</v>
      </c>
      <c r="M18" s="17">
        <v>1051.3</v>
      </c>
      <c r="N18" s="18">
        <f t="shared" si="0"/>
        <v>8807.25</v>
      </c>
      <c r="O18" s="19"/>
      <c r="IY18" s="20"/>
    </row>
    <row r="19" spans="1:259" ht="18" x14ac:dyDescent="0.4">
      <c r="A19" s="14" t="s">
        <v>29</v>
      </c>
      <c r="B19" s="15">
        <v>1379.06</v>
      </c>
      <c r="C19" s="15">
        <v>1812.42</v>
      </c>
      <c r="D19" s="16">
        <v>1595.94</v>
      </c>
      <c r="E19" s="16">
        <v>1659.73</v>
      </c>
      <c r="F19" s="16">
        <v>1759.01</v>
      </c>
      <c r="G19" s="15">
        <v>1500.01</v>
      </c>
      <c r="H19" s="15">
        <v>1642.51</v>
      </c>
      <c r="I19" s="17">
        <v>1333.16</v>
      </c>
      <c r="J19" s="17">
        <v>1722.45</v>
      </c>
      <c r="K19" s="17">
        <v>1591.3</v>
      </c>
      <c r="L19" s="17">
        <v>2081.37</v>
      </c>
      <c r="M19" s="17">
        <v>2241.58</v>
      </c>
      <c r="N19" s="18">
        <f t="shared" si="0"/>
        <v>20318.54</v>
      </c>
      <c r="O19" s="19"/>
      <c r="IY19" s="20"/>
    </row>
    <row r="20" spans="1:259" ht="18" x14ac:dyDescent="0.4">
      <c r="A20" s="14" t="s">
        <v>30</v>
      </c>
      <c r="B20" s="15">
        <v>883.36</v>
      </c>
      <c r="C20" s="15">
        <v>1237.6199999999999</v>
      </c>
      <c r="D20" s="16">
        <v>1197.6400000000001</v>
      </c>
      <c r="E20" s="16">
        <v>1067.22</v>
      </c>
      <c r="F20" s="16">
        <v>1516.09</v>
      </c>
      <c r="G20" s="15">
        <v>1455.17</v>
      </c>
      <c r="H20" s="15">
        <v>979.92</v>
      </c>
      <c r="I20" s="17">
        <v>884.5</v>
      </c>
      <c r="J20" s="17">
        <v>1399.96</v>
      </c>
      <c r="K20" s="17">
        <v>1282.03</v>
      </c>
      <c r="L20" s="17">
        <v>1350.71</v>
      </c>
      <c r="M20" s="17">
        <v>1441.85</v>
      </c>
      <c r="N20" s="18">
        <f t="shared" si="0"/>
        <v>14696.070000000002</v>
      </c>
      <c r="O20" s="19"/>
      <c r="IY20" s="20"/>
    </row>
    <row r="21" spans="1:259" ht="17.5" x14ac:dyDescent="0.35">
      <c r="A21" s="22" t="s">
        <v>18</v>
      </c>
      <c r="B21" s="18">
        <f>SUM(B9:B20)</f>
        <v>18708.03</v>
      </c>
      <c r="C21" s="18">
        <f t="shared" ref="C21:N21" si="1">SUM(C9:C20)</f>
        <v>20688.3</v>
      </c>
      <c r="D21" s="18">
        <f t="shared" si="1"/>
        <v>19482.649999999998</v>
      </c>
      <c r="E21" s="18">
        <f t="shared" si="1"/>
        <v>18290.620000000003</v>
      </c>
      <c r="F21" s="18">
        <f t="shared" si="1"/>
        <v>18845.239999999998</v>
      </c>
      <c r="G21" s="18">
        <f t="shared" si="1"/>
        <v>18212.800000000003</v>
      </c>
      <c r="H21" s="18">
        <f t="shared" si="1"/>
        <v>19465.059999999998</v>
      </c>
      <c r="I21" s="18">
        <f t="shared" si="1"/>
        <v>18684.13</v>
      </c>
      <c r="J21" s="18">
        <f t="shared" si="1"/>
        <v>20253.12</v>
      </c>
      <c r="K21" s="18">
        <f t="shared" si="1"/>
        <v>19864.059999999998</v>
      </c>
      <c r="L21" s="18">
        <f t="shared" si="1"/>
        <v>20192.12</v>
      </c>
      <c r="M21" s="18">
        <f t="shared" si="1"/>
        <v>21572.61</v>
      </c>
      <c r="N21" s="18">
        <f t="shared" si="1"/>
        <v>234258.74000000002</v>
      </c>
      <c r="O21" s="19"/>
    </row>
    <row r="22" spans="1:259" ht="18" x14ac:dyDescent="0.4">
      <c r="A22" s="23" t="s">
        <v>31</v>
      </c>
      <c r="B22" s="24"/>
      <c r="C22" s="24"/>
      <c r="D22" s="24"/>
      <c r="E22" s="25"/>
      <c r="F22" s="24"/>
      <c r="G22" s="24"/>
      <c r="H22" s="1"/>
      <c r="I22" s="1"/>
      <c r="J22" s="24"/>
      <c r="K22" s="24"/>
      <c r="L22" s="24"/>
      <c r="M22" s="24"/>
      <c r="N22" s="26"/>
    </row>
    <row r="23" spans="1:259" ht="14" x14ac:dyDescent="0.3">
      <c r="A23" s="27" t="s">
        <v>32</v>
      </c>
      <c r="B23" s="4"/>
      <c r="C23" s="4"/>
      <c r="D23" s="4"/>
      <c r="E23" s="4"/>
      <c r="F23" s="4"/>
      <c r="G23" s="4"/>
      <c r="H23" s="4"/>
      <c r="I23" s="19"/>
      <c r="J23" s="4"/>
      <c r="K23" s="4"/>
      <c r="L23" s="4"/>
      <c r="M23" s="4"/>
      <c r="N23" s="28"/>
    </row>
    <row r="24" spans="1:259" ht="14" x14ac:dyDescent="0.3">
      <c r="A24" s="27" t="s">
        <v>33</v>
      </c>
      <c r="B24" s="4"/>
      <c r="C24" s="4"/>
      <c r="D24" s="4"/>
      <c r="E24" s="4"/>
      <c r="F24" s="4"/>
      <c r="G24" s="29"/>
      <c r="H24" s="4"/>
      <c r="I24" s="20"/>
      <c r="J24" s="4"/>
      <c r="K24" s="4"/>
      <c r="L24" s="4"/>
      <c r="M24" s="4"/>
      <c r="N24" s="28"/>
    </row>
    <row r="25" spans="1:259" ht="14" x14ac:dyDescent="0.3">
      <c r="A25" s="30" t="s">
        <v>34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2"/>
    </row>
    <row r="26" spans="1:259" ht="14" x14ac:dyDescent="0.3">
      <c r="A26" s="33" t="s">
        <v>35</v>
      </c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5"/>
    </row>
    <row r="27" spans="1:259" ht="18" x14ac:dyDescent="0.4">
      <c r="A27" s="36" t="s">
        <v>36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8"/>
    </row>
    <row r="28" spans="1:259" ht="14" x14ac:dyDescent="0.3">
      <c r="A28" s="39" t="s">
        <v>37</v>
      </c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1"/>
    </row>
    <row r="29" spans="1:259" ht="14" x14ac:dyDescent="0.3">
      <c r="A29" s="42" t="s">
        <v>38</v>
      </c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4"/>
    </row>
    <row r="30" spans="1:259" ht="14" x14ac:dyDescent="0.3">
      <c r="A30" s="42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4"/>
    </row>
    <row r="31" spans="1:259" ht="17.5" x14ac:dyDescent="0.35">
      <c r="A31" s="45" t="s">
        <v>39</v>
      </c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</row>
    <row r="32" spans="1:259" ht="15.5" x14ac:dyDescent="0.35"/>
  </sheetData>
  <mergeCells count="10">
    <mergeCell ref="A28:N28"/>
    <mergeCell ref="A29:N29"/>
    <mergeCell ref="A30:N30"/>
    <mergeCell ref="A31:N31"/>
    <mergeCell ref="M1:N1"/>
    <mergeCell ref="A6:N6"/>
    <mergeCell ref="A7:N7"/>
    <mergeCell ref="A25:N25"/>
    <mergeCell ref="A26:N26"/>
    <mergeCell ref="A27:N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Kumar Dwivedi | Broadway Infotech</dc:creator>
  <cp:lastModifiedBy>Mohit Kumar Dwivedi | Broadway Infotech</cp:lastModifiedBy>
  <dcterms:created xsi:type="dcterms:W3CDTF">2024-12-30T08:29:59Z</dcterms:created>
  <dcterms:modified xsi:type="dcterms:W3CDTF">2024-12-30T08:30:50Z</dcterms:modified>
</cp:coreProperties>
</file>