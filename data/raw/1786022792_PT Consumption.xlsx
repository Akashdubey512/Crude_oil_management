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2.196.45\DemandData\Monthly Activities\Y2 Data\2026-27\July-26\Upload\"/>
    </mc:Choice>
  </mc:AlternateContent>
  <xr:revisionPtr revIDLastSave="0" documentId="13_ncr:1_{F999CA46-3C18-49D9-9DA7-D2F4F3F3DF15}" xr6:coauthVersionLast="47" xr6:coauthVersionMax="47" xr10:uidLastSave="{00000000-0000-0000-0000-000000000000}"/>
  <bookViews>
    <workbookView xWindow="-120" yWindow="-120" windowWidth="29040" windowHeight="15720" xr2:uid="{86E087E5-3150-418C-A2E9-52098D8BA291}"/>
  </bookViews>
  <sheets>
    <sheet name="Consumption" sheetId="2" r:id="rId1"/>
  </sheets>
  <definedNames>
    <definedName name="_______________________________PG8" localSheetId="0">#REF!</definedName>
    <definedName name="_______________________________PG8">#REF!</definedName>
    <definedName name="______________________________PG8" localSheetId="0">#REF!</definedName>
    <definedName name="______________________________PG8">#REF!</definedName>
    <definedName name="_____________________________PG8" localSheetId="0">#REF!</definedName>
    <definedName name="_____________________________PG8">#REF!</definedName>
    <definedName name="____________________________PG8" localSheetId="0">#REF!</definedName>
    <definedName name="____________________________PG8">#REF!</definedName>
    <definedName name="___________________________PG8" localSheetId="0">#REF!</definedName>
    <definedName name="___________________________PG8">#REF!</definedName>
    <definedName name="__________________________PG8" localSheetId="0">#REF!</definedName>
    <definedName name="__________________________PG8">#REF!</definedName>
    <definedName name="_________________________PG8" localSheetId="0">#REF!</definedName>
    <definedName name="_________________________PG8">#REF!</definedName>
    <definedName name="________________________PG8" localSheetId="0">#REF!</definedName>
    <definedName name="________________________PG8">#REF!</definedName>
    <definedName name="_______________________PG8" localSheetId="0">#REF!</definedName>
    <definedName name="_______________________PG8">#REF!</definedName>
    <definedName name="______________________PG8" localSheetId="0">#REF!</definedName>
    <definedName name="______________________PG8">#REF!</definedName>
    <definedName name="_____________________PG8" localSheetId="0">#REF!</definedName>
    <definedName name="_____________________PG8">#REF!</definedName>
    <definedName name="____________________PG8" localSheetId="0">#REF!</definedName>
    <definedName name="____________________PG8">#REF!</definedName>
    <definedName name="___________________PG8" localSheetId="0">#REF!</definedName>
    <definedName name="___________________PG8">#REF!</definedName>
    <definedName name="__________________PG8" localSheetId="0">#REF!</definedName>
    <definedName name="__________________PG8">#REF!</definedName>
    <definedName name="_________________PG8" localSheetId="0">#REF!</definedName>
    <definedName name="_________________PG8">#REF!</definedName>
    <definedName name="________________PG8" localSheetId="0">#REF!</definedName>
    <definedName name="________________PG8">#REF!</definedName>
    <definedName name="_______________PG8" localSheetId="0">#REF!</definedName>
    <definedName name="_______________PG8">#REF!</definedName>
    <definedName name="______________PG8" localSheetId="0">#REF!</definedName>
    <definedName name="______________PG8">#REF!</definedName>
    <definedName name="_____________PG8" localSheetId="0">#REF!</definedName>
    <definedName name="_____________PG8">#REF!</definedName>
    <definedName name="____________PG8" localSheetId="0">#REF!</definedName>
    <definedName name="____________PG8">#REF!</definedName>
    <definedName name="___________PG8" localSheetId="0">#REF!</definedName>
    <definedName name="___________PG8">#REF!</definedName>
    <definedName name="__________PG8" localSheetId="0">#REF!</definedName>
    <definedName name="__________PG8">#REF!</definedName>
    <definedName name="_________PG8" localSheetId="0">#REF!</definedName>
    <definedName name="_________PG8">#REF!</definedName>
    <definedName name="________PG8" localSheetId="0">#REF!</definedName>
    <definedName name="________PG8">#REF!</definedName>
    <definedName name="_______PG8" localSheetId="0">#REF!</definedName>
    <definedName name="_______PG8">#REF!</definedName>
    <definedName name="______PG8" localSheetId="0">#REF!</definedName>
    <definedName name="______PG8">#REF!</definedName>
    <definedName name="_____PG8" localSheetId="0">#REF!</definedName>
    <definedName name="_____PG8">#REF!</definedName>
    <definedName name="____PG8" localSheetId="0">#REF!</definedName>
    <definedName name="____PG8">#REF!</definedName>
    <definedName name="___PG8" localSheetId="0">#REF!</definedName>
    <definedName name="___PG8">#REF!</definedName>
    <definedName name="__PG8" localSheetId="0">#REF!</definedName>
    <definedName name="__PG8">#REF!</definedName>
    <definedName name="_PG8" localSheetId="0">#REF!</definedName>
    <definedName name="_PG8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7" localSheetId="0">#REF!</definedName>
    <definedName name="PAGE7">#REF!</definedName>
    <definedName name="_xlnm.Print_Area" localSheetId="0">Consumption!$A$1:$N$32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L21" i="2"/>
  <c r="K21" i="2"/>
  <c r="J21" i="2"/>
  <c r="I21" i="2"/>
  <c r="H21" i="2"/>
  <c r="G21" i="2"/>
  <c r="F21" i="2"/>
  <c r="E21" i="2"/>
  <c r="D21" i="2"/>
  <c r="C21" i="2"/>
  <c r="B21" i="2"/>
  <c r="N20" i="2"/>
  <c r="N19" i="2"/>
  <c r="N18" i="2"/>
  <c r="N17" i="2"/>
  <c r="N16" i="2"/>
  <c r="N15" i="2"/>
  <c r="N14" i="2"/>
  <c r="N13" i="2"/>
  <c r="N12" i="2"/>
  <c r="N11" i="2"/>
  <c r="N10" i="2"/>
  <c r="N9" i="2"/>
  <c r="N21" i="2" s="1"/>
</calcChain>
</file>

<file path=xl/sharedStrings.xml><?xml version="1.0" encoding="utf-8"?>
<sst xmlns="http://schemas.openxmlformats.org/spreadsheetml/2006/main" count="41" uniqueCount="40">
  <si>
    <t>Petroleum Planning &amp; Analysis Cell</t>
  </si>
  <si>
    <t>Annexure-I</t>
  </si>
  <si>
    <t>('000 Metric Tonnes)</t>
  </si>
  <si>
    <t>PRODUCTS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</si>
  <si>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</si>
  <si>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</si>
  <si>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</si>
  <si>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</si>
  <si>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</si>
  <si>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</si>
  <si>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</si>
  <si>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</si>
  <si>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</si>
  <si>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</si>
  <si>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</si>
  <si>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</si>
  <si>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</si>
  <si>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LPG</t>
  </si>
  <si>
    <t>Naphtha</t>
  </si>
  <si>
    <t>MS</t>
  </si>
  <si>
    <t>ATF</t>
  </si>
  <si>
    <t>SKO</t>
  </si>
  <si>
    <t>HSD</t>
  </si>
  <si>
    <t>LDO</t>
  </si>
  <si>
    <t>Lubricants &amp; Greases</t>
  </si>
  <si>
    <t>FO &amp; LSHS</t>
  </si>
  <si>
    <t>Bitumen</t>
  </si>
  <si>
    <t>Petroleum coke</t>
  </si>
  <si>
    <t>Others</t>
  </si>
  <si>
    <t xml:space="preserve">i)   All figures are provisional. </t>
  </si>
  <si>
    <t>iii)  The consumption estimates represent market demand and is aggregate of :</t>
  </si>
  <si>
    <t xml:space="preserve">      (a) actual sales by oil companies in domestic market</t>
  </si>
  <si>
    <t>PS : Monthwise Consumption data from 1998-99 can be accessed under Historical Section</t>
  </si>
  <si>
    <t>Period : April-26 to March-27</t>
  </si>
  <si>
    <t>ii)  The source of information includes Oil Companies and DGCIS.</t>
  </si>
  <si>
    <t xml:space="preserve">      (c)  MS Sales includes Ethanol Blending </t>
  </si>
  <si>
    <r>
      <t xml:space="preserve">DOMESTIC CONSUMPTION OF PETROLEUM PRODUCTS (P) </t>
    </r>
    <r>
      <rPr>
        <sz val="14"/>
        <rFont val="Times New Roman"/>
        <family val="1"/>
      </rPr>
      <t>(as on 06.08.2026)</t>
    </r>
  </si>
  <si>
    <r>
      <t xml:space="preserve">NOTE : </t>
    </r>
    <r>
      <rPr>
        <b/>
        <i/>
        <u/>
        <sz val="14"/>
        <color indexed="8"/>
        <rFont val="Times New Roman"/>
        <family val="1"/>
      </rPr>
      <t>P-Provisional, domestic consumption data as per 'Y2 report for FY2026-27' published on 06.08.2026</t>
    </r>
  </si>
  <si>
    <t xml:space="preserve">      (b) consumption through direct imports by private parties (Private direct imports ) prorated for Jun'26-Jul'26, which may undergo change on receipt of actual data), and</t>
  </si>
  <si>
    <t>(iv) Domestic POL consumption  for Jul'26 registered a growth of 2.9 % on YoY basis. POL during the month was driven by growth in MS at 9.2% and HSD at 10.0%.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</si>
</sst>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00"/>
    <numFmt numFmtId="168" formatCode="mm/dd/yy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b/>
      <i/>
      <u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Helv"/>
    </font>
    <font>
      <b/>
      <sz val="8"/>
      <color indexed="8"/>
      <name val="Helv"/>
    </font>
    <font>
      <sz val="11"/>
      <color rgb="FF9C65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8"/>
      <color theme="3"/>
      <name val="Aptos Display"/>
      <family val="2"/>
      <scheme val="maj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F7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58">
    <xf numFmtId="0" fontId="0" fillId="0" borderId="0"/>
    <xf numFmtId="0" fontId="1" fillId="0" borderId="0"/>
    <xf numFmtId="0" fontId="6" fillId="0" borderId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9" borderId="15" applyNumberFormat="0" applyAlignment="0" applyProtection="0"/>
    <xf numFmtId="0" fontId="21" fillId="10" borderId="16" applyNumberFormat="0" applyAlignment="0" applyProtection="0"/>
    <xf numFmtId="0" fontId="22" fillId="10" borderId="15" applyNumberFormat="0" applyAlignment="0" applyProtection="0"/>
    <xf numFmtId="0" fontId="23" fillId="0" borderId="17" applyNumberFormat="0" applyFill="0" applyAlignment="0" applyProtection="0"/>
    <xf numFmtId="0" fontId="24" fillId="11" borderId="18" applyNumberFormat="0" applyAlignment="0" applyProtection="0"/>
    <xf numFmtId="0" fontId="25" fillId="0" borderId="0" applyNumberFormat="0" applyFill="0" applyBorder="0" applyAlignment="0" applyProtection="0"/>
    <xf numFmtId="0" fontId="1" fillId="12" borderId="19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20" applyNumberFormat="0" applyFill="0" applyAlignment="0" applyProtection="0"/>
    <xf numFmtId="0" fontId="2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33" borderId="0" applyNumberFormat="0" applyBorder="0" applyAlignment="0" applyProtection="0"/>
    <xf numFmtId="0" fontId="19" fillId="7" borderId="0" applyNumberFormat="0" applyBorder="0" applyAlignment="0" applyProtection="0"/>
    <xf numFmtId="0" fontId="6" fillId="37" borderId="0" applyNumberFormat="0" applyBorder="0" applyAlignment="0">
      <protection locked="0"/>
    </xf>
    <xf numFmtId="0" fontId="29" fillId="0" borderId="0" applyFill="0" applyBorder="0" applyAlignment="0"/>
    <xf numFmtId="0" fontId="22" fillId="10" borderId="15" applyNumberFormat="0" applyAlignment="0" applyProtection="0"/>
    <xf numFmtId="0" fontId="24" fillId="11" borderId="18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0" fillId="0" borderId="0" applyNumberFormat="0" applyAlignment="0">
      <alignment horizontal="left"/>
    </xf>
    <xf numFmtId="164" fontId="1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6" fillId="0" borderId="0" applyNumberFormat="0" applyFill="0" applyBorder="0" applyAlignment="0" applyProtection="0"/>
    <xf numFmtId="0" fontId="18" fillId="6" borderId="0" applyNumberFormat="0" applyBorder="0" applyAlignment="0" applyProtection="0"/>
    <xf numFmtId="38" fontId="32" fillId="38" borderId="0" applyNumberFormat="0" applyBorder="0" applyAlignment="0" applyProtection="0"/>
    <xf numFmtId="0" fontId="33" fillId="0" borderId="21" applyNumberFormat="0" applyAlignment="0" applyProtection="0">
      <alignment horizontal="left" vertical="center"/>
    </xf>
    <xf numFmtId="0" fontId="33" fillId="0" borderId="2">
      <alignment horizontal="left" vertical="center"/>
    </xf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10" fontId="32" fillId="39" borderId="5" applyNumberFormat="0" applyBorder="0" applyAlignment="0" applyProtection="0"/>
    <xf numFmtId="0" fontId="20" fillId="9" borderId="15" applyNumberFormat="0" applyAlignment="0" applyProtection="0"/>
    <xf numFmtId="0" fontId="23" fillId="0" borderId="17" applyNumberFormat="0" applyFill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12" borderId="19" applyNumberFormat="0" applyFont="0" applyAlignment="0" applyProtection="0"/>
    <xf numFmtId="0" fontId="1" fillId="12" borderId="19" applyNumberFormat="0" applyFont="0" applyAlignment="0" applyProtection="0"/>
    <xf numFmtId="0" fontId="1" fillId="12" borderId="19" applyNumberFormat="0" applyFont="0" applyAlignment="0" applyProtection="0"/>
    <xf numFmtId="0" fontId="21" fillId="10" borderId="16" applyNumberFormat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8" fontId="35" fillId="0" borderId="0" applyNumberFormat="0" applyFill="0" applyBorder="0" applyAlignment="0" applyProtection="0">
      <alignment horizontal="left"/>
    </xf>
    <xf numFmtId="40" fontId="36" fillId="0" borderId="0" applyBorder="0">
      <alignment horizontal="right"/>
    </xf>
    <xf numFmtId="0" fontId="39" fillId="0" borderId="0" applyNumberFormat="0" applyFill="0" applyBorder="0" applyAlignment="0" applyProtection="0"/>
    <xf numFmtId="0" fontId="27" fillId="0" borderId="20" applyNumberFormat="0" applyFill="0" applyAlignment="0" applyProtection="0"/>
    <xf numFmtId="0" fontId="25" fillId="0" borderId="0" applyNumberFormat="0" applyFill="0" applyBorder="0" applyAlignment="0" applyProtection="0"/>
  </cellStyleXfs>
  <cellXfs count="47">
    <xf numFmtId="0" fontId="0" fillId="0" borderId="0" xfId="0"/>
    <xf numFmtId="0" fontId="5" fillId="2" borderId="0" xfId="1" applyFont="1" applyFill="1"/>
    <xf numFmtId="1" fontId="5" fillId="2" borderId="0" xfId="1" applyNumberFormat="1" applyFont="1" applyFill="1"/>
    <xf numFmtId="166" fontId="5" fillId="2" borderId="0" xfId="1" applyNumberFormat="1" applyFont="1" applyFill="1"/>
    <xf numFmtId="0" fontId="14" fillId="2" borderId="0" xfId="1" applyFont="1" applyFill="1"/>
    <xf numFmtId="0" fontId="7" fillId="4" borderId="4" xfId="1" applyFont="1" applyFill="1" applyBorder="1" applyAlignment="1">
      <alignment horizontal="center" vertical="center" wrapText="1"/>
    </xf>
    <xf numFmtId="0" fontId="7" fillId="2" borderId="0" xfId="2" applyFont="1" applyFill="1"/>
    <xf numFmtId="0" fontId="9" fillId="0" borderId="5" xfId="0" applyFont="1" applyBorder="1" applyAlignment="1">
      <alignment horizontal="left" vertical="center"/>
    </xf>
    <xf numFmtId="0" fontId="4" fillId="0" borderId="5" xfId="1" applyFont="1" applyBorder="1" applyAlignment="1">
      <alignment horizontal="left"/>
    </xf>
    <xf numFmtId="1" fontId="2" fillId="0" borderId="5" xfId="1" applyNumberFormat="1" applyFont="1" applyBorder="1" applyAlignment="1">
      <alignment horizontal="center"/>
    </xf>
    <xf numFmtId="1" fontId="10" fillId="5" borderId="6" xfId="0" applyNumberFormat="1" applyFont="1" applyFill="1" applyBorder="1" applyAlignment="1">
      <alignment horizontal="center" wrapText="1"/>
    </xf>
    <xf numFmtId="1" fontId="4" fillId="0" borderId="5" xfId="1" applyNumberFormat="1" applyFont="1" applyBorder="1" applyAlignment="1">
      <alignment horizontal="center"/>
    </xf>
    <xf numFmtId="1" fontId="2" fillId="0" borderId="5" xfId="1" applyNumberFormat="1" applyFont="1" applyBorder="1" applyAlignment="1">
      <alignment horizontal="center" vertical="center"/>
    </xf>
    <xf numFmtId="1" fontId="10" fillId="5" borderId="5" xfId="0" applyNumberFormat="1" applyFont="1" applyFill="1" applyBorder="1" applyAlignment="1">
      <alignment horizontal="center" vertical="center" wrapText="1"/>
    </xf>
    <xf numFmtId="0" fontId="2" fillId="2" borderId="0" xfId="1" applyFont="1" applyFill="1"/>
    <xf numFmtId="0" fontId="3" fillId="2" borderId="0" xfId="1" applyFont="1" applyFill="1" applyAlignment="1">
      <alignment vertical="top"/>
    </xf>
    <xf numFmtId="0" fontId="2" fillId="2" borderId="0" xfId="1" applyFont="1" applyFill="1" applyAlignment="1">
      <alignment horizontal="center"/>
    </xf>
    <xf numFmtId="0" fontId="4" fillId="2" borderId="7" xfId="1" applyFont="1" applyFill="1" applyBorder="1"/>
    <xf numFmtId="1" fontId="4" fillId="2" borderId="8" xfId="1" applyNumberFormat="1" applyFont="1" applyFill="1" applyBorder="1"/>
    <xf numFmtId="167" fontId="4" fillId="2" borderId="8" xfId="1" applyNumberFormat="1" applyFont="1" applyFill="1" applyBorder="1"/>
    <xf numFmtId="1" fontId="4" fillId="2" borderId="9" xfId="1" applyNumberFormat="1" applyFont="1" applyFill="1" applyBorder="1"/>
    <xf numFmtId="0" fontId="5" fillId="2" borderId="10" xfId="1" applyFont="1" applyFill="1" applyBorder="1"/>
    <xf numFmtId="0" fontId="5" fillId="2" borderId="11" xfId="1" applyFont="1" applyFill="1" applyBorder="1"/>
    <xf numFmtId="166" fontId="12" fillId="2" borderId="0" xfId="1" applyNumberFormat="1" applyFont="1" applyFill="1"/>
    <xf numFmtId="0" fontId="4" fillId="2" borderId="0" xfId="1" applyFont="1" applyFill="1" applyAlignment="1">
      <alignment horizontal="right"/>
    </xf>
    <xf numFmtId="0" fontId="4" fillId="2" borderId="1" xfId="1" applyFont="1" applyFill="1" applyBorder="1" applyAlignment="1">
      <alignment horizontal="right" vertical="top"/>
    </xf>
    <xf numFmtId="0" fontId="4" fillId="2" borderId="2" xfId="1" applyFont="1" applyFill="1" applyBorder="1" applyAlignment="1">
      <alignment horizontal="right" vertical="top"/>
    </xf>
    <xf numFmtId="0" fontId="4" fillId="2" borderId="3" xfId="1" applyFont="1" applyFill="1" applyBorder="1" applyAlignment="1">
      <alignment horizontal="right" vertical="top"/>
    </xf>
    <xf numFmtId="0" fontId="7" fillId="3" borderId="1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3" borderId="3" xfId="1" applyFont="1" applyFill="1" applyBorder="1" applyAlignment="1">
      <alignment horizontal="center" vertical="top"/>
    </xf>
    <xf numFmtId="0" fontId="4" fillId="2" borderId="5" xfId="1" applyFont="1" applyFill="1" applyBorder="1" applyAlignment="1">
      <alignment horizontal="left"/>
    </xf>
    <xf numFmtId="0" fontId="13" fillId="2" borderId="10" xfId="1" applyFont="1" applyFill="1" applyBorder="1" applyAlignment="1">
      <alignment horizontal="left" wrapText="1" shrinkToFit="1"/>
    </xf>
    <xf numFmtId="0" fontId="13" fillId="2" borderId="0" xfId="1" applyFont="1" applyFill="1" applyAlignment="1">
      <alignment horizontal="left" wrapText="1" shrinkToFit="1"/>
    </xf>
    <xf numFmtId="0" fontId="13" fillId="2" borderId="11" xfId="1" applyFont="1" applyFill="1" applyBorder="1" applyAlignment="1">
      <alignment horizontal="left" wrapText="1" shrinkToFit="1"/>
    </xf>
    <xf numFmtId="0" fontId="5" fillId="2" borderId="10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11" xfId="1" applyFont="1" applyFill="1" applyBorder="1" applyAlignment="1">
      <alignment horizontal="left"/>
    </xf>
    <xf numFmtId="0" fontId="13" fillId="2" borderId="10" xfId="1" applyFont="1" applyFill="1" applyBorder="1" applyAlignment="1">
      <alignment wrapText="1"/>
    </xf>
    <xf numFmtId="0" fontId="13" fillId="2" borderId="0" xfId="1" applyFont="1" applyFill="1" applyAlignment="1">
      <alignment wrapText="1"/>
    </xf>
    <xf numFmtId="0" fontId="13" fillId="2" borderId="11" xfId="1" applyFont="1" applyFill="1" applyBorder="1" applyAlignment="1">
      <alignment wrapText="1"/>
    </xf>
    <xf numFmtId="0" fontId="8" fillId="2" borderId="10" xfId="1" applyFont="1" applyFill="1" applyBorder="1" applyAlignment="1">
      <alignment horizontal="left" shrinkToFit="1"/>
    </xf>
    <xf numFmtId="0" fontId="8" fillId="2" borderId="0" xfId="1" applyFont="1" applyFill="1" applyAlignment="1">
      <alignment horizontal="left" shrinkToFit="1"/>
    </xf>
    <xf numFmtId="0" fontId="8" fillId="2" borderId="11" xfId="1" applyFont="1" applyFill="1" applyBorder="1" applyAlignment="1">
      <alignment horizontal="left" shrinkToFit="1"/>
    </xf>
    <xf numFmtId="0" fontId="13" fillId="2" borderId="10" xfId="1" applyFont="1" applyFill="1" applyBorder="1" applyAlignment="1">
      <alignment horizontal="left" shrinkToFit="1"/>
    </xf>
    <xf numFmtId="0" fontId="13" fillId="2" borderId="0" xfId="1" applyFont="1" applyFill="1" applyAlignment="1">
      <alignment horizontal="left" shrinkToFit="1"/>
    </xf>
    <xf numFmtId="0" fontId="13" fillId="2" borderId="11" xfId="1" applyFont="1" applyFill="1" applyBorder="1" applyAlignment="1">
      <alignment horizontal="left" shrinkToFit="1"/>
    </xf>
  </cellXfs>
  <cellStyles count="158">
    <cellStyle name="20% - Accent1" xfId="19" builtinId="30" customBuiltin="1"/>
    <cellStyle name="20% - Accent1 2" xfId="36" xr:uid="{E8EADD58-C4C4-4B08-B49E-A243EEA00DAA}"/>
    <cellStyle name="20% - Accent1 3" xfId="37" xr:uid="{AD688D48-1A24-48AB-BFD8-509433C5EE84}"/>
    <cellStyle name="20% - Accent1 4" xfId="38" xr:uid="{CC88EC41-E959-4D78-837A-0EFF7626B180}"/>
    <cellStyle name="20% - Accent2" xfId="22" builtinId="34" customBuiltin="1"/>
    <cellStyle name="20% - Accent2 2" xfId="39" xr:uid="{B4527E4A-B272-480B-B93F-CFA998D60599}"/>
    <cellStyle name="20% - Accent2 3" xfId="40" xr:uid="{3F2F6158-94FF-4D7F-81BD-72A1F82C2468}"/>
    <cellStyle name="20% - Accent2 4" xfId="41" xr:uid="{6D1475E2-E544-414B-A6DE-68CE6637922E}"/>
    <cellStyle name="20% - Accent3" xfId="25" builtinId="38" customBuiltin="1"/>
    <cellStyle name="20% - Accent3 2" xfId="42" xr:uid="{9E14762C-BF2C-4D26-A2A2-A71C29F28486}"/>
    <cellStyle name="20% - Accent3 3" xfId="43" xr:uid="{336EA785-E831-4237-9E65-2F31BC3E5389}"/>
    <cellStyle name="20% - Accent3 4" xfId="44" xr:uid="{7A38BE39-B711-4D79-B5AA-C072A443C882}"/>
    <cellStyle name="20% - Accent4" xfId="28" builtinId="42" customBuiltin="1"/>
    <cellStyle name="20% - Accent4 2" xfId="45" xr:uid="{5F847552-D64A-4EC2-AC79-A31FDA47689D}"/>
    <cellStyle name="20% - Accent4 3" xfId="46" xr:uid="{DC84B9B1-4793-4BEF-B548-BB93562F8938}"/>
    <cellStyle name="20% - Accent4 4" xfId="47" xr:uid="{B5242E76-C776-4255-96E9-B40EA95213C9}"/>
    <cellStyle name="20% - Accent5" xfId="31" builtinId="46" customBuiltin="1"/>
    <cellStyle name="20% - Accent5 2" xfId="48" xr:uid="{009E9F87-F1F1-420B-8457-49CD40939778}"/>
    <cellStyle name="20% - Accent5 3" xfId="49" xr:uid="{E17DC2B9-109C-4FBE-B896-59A7499EDC99}"/>
    <cellStyle name="20% - Accent5 4" xfId="50" xr:uid="{46E3AA56-E9CF-48A6-8E7B-B013B3088AC4}"/>
    <cellStyle name="20% - Accent6" xfId="34" builtinId="50" customBuiltin="1"/>
    <cellStyle name="20% - Accent6 2" xfId="51" xr:uid="{998C6C52-4E7B-48CD-8AB8-1A38905AEF55}"/>
    <cellStyle name="20% - Accent6 3" xfId="52" xr:uid="{EFB04F81-C29F-4510-BFB2-3C66631FD823}"/>
    <cellStyle name="20% - Accent6 4" xfId="53" xr:uid="{4FD49A7C-3ACD-491A-A3FD-860057639F94}"/>
    <cellStyle name="40% - Accent1" xfId="20" builtinId="31" customBuiltin="1"/>
    <cellStyle name="40% - Accent1 2" xfId="54" xr:uid="{1E6452AE-E600-4A57-91AC-D0EAC17BBB76}"/>
    <cellStyle name="40% - Accent1 3" xfId="55" xr:uid="{EE9504B9-A35F-4043-B520-1321371F70FF}"/>
    <cellStyle name="40% - Accent1 4" xfId="56" xr:uid="{D10317D9-108A-42F2-A212-2920BD0479BB}"/>
    <cellStyle name="40% - Accent2" xfId="23" builtinId="35" customBuiltin="1"/>
    <cellStyle name="40% - Accent2 2" xfId="57" xr:uid="{B003AC09-E9C3-42EA-B806-E38E2678BFDD}"/>
    <cellStyle name="40% - Accent2 3" xfId="58" xr:uid="{C63FC5F7-19D6-4C51-AE3F-A34B4095870E}"/>
    <cellStyle name="40% - Accent2 4" xfId="59" xr:uid="{EE55E48F-A71A-4AEC-9131-9C427E10CED6}"/>
    <cellStyle name="40% - Accent3" xfId="26" builtinId="39" customBuiltin="1"/>
    <cellStyle name="40% - Accent3 2" xfId="60" xr:uid="{48FE2B08-7977-4152-8107-ED1559F27654}"/>
    <cellStyle name="40% - Accent3 3" xfId="61" xr:uid="{0786DD6C-F9D3-4AF5-8246-F3ACEC6AB1C2}"/>
    <cellStyle name="40% - Accent3 4" xfId="62" xr:uid="{D8D35F67-C894-4978-AA9A-35D7BDD595F8}"/>
    <cellStyle name="40% - Accent4" xfId="29" builtinId="43" customBuiltin="1"/>
    <cellStyle name="40% - Accent4 2" xfId="63" xr:uid="{5F133731-8B65-4C90-8F20-C9BF6C119D29}"/>
    <cellStyle name="40% - Accent4 3" xfId="64" xr:uid="{D40A7AF2-C792-47B1-BB22-03C6CD599366}"/>
    <cellStyle name="40% - Accent4 4" xfId="65" xr:uid="{7349F7AA-D218-4A71-81F3-31135CC7AC96}"/>
    <cellStyle name="40% - Accent5" xfId="32" builtinId="47" customBuiltin="1"/>
    <cellStyle name="40% - Accent5 2" xfId="66" xr:uid="{8069DBD8-1EA6-4F06-ABEB-9706976BF7A9}"/>
    <cellStyle name="40% - Accent5 3" xfId="67" xr:uid="{ABF0ED06-56C8-485E-A4B5-E2F7E07103D3}"/>
    <cellStyle name="40% - Accent5 4" xfId="68" xr:uid="{B8815F2F-4C0D-4E85-AAA5-9DD657EF40A5}"/>
    <cellStyle name="40% - Accent6" xfId="35" builtinId="51" customBuiltin="1"/>
    <cellStyle name="40% - Accent6 2" xfId="69" xr:uid="{64BF8357-C12C-4E26-AE48-7C50460CB1F3}"/>
    <cellStyle name="40% - Accent6 3" xfId="70" xr:uid="{36230942-6F87-4510-BDE6-0E1D4D2AF92D}"/>
    <cellStyle name="40% - Accent6 4" xfId="71" xr:uid="{7A46A6E5-EB3C-4BE1-9180-6552540EEED2}"/>
    <cellStyle name="60% - Accent1 2" xfId="73" xr:uid="{6CE638A7-CF63-42A9-AFD7-67DE20FD7CE5}"/>
    <cellStyle name="60% - Accent1 3" xfId="72" xr:uid="{5DE4B9C7-FBB2-4569-8D44-C01A4E9A410C}"/>
    <cellStyle name="60% - Accent2 2" xfId="75" xr:uid="{13E4D657-5E03-4A55-82D9-48D79AA86786}"/>
    <cellStyle name="60% - Accent2 3" xfId="74" xr:uid="{169F3813-157F-4B95-9AD9-A3F7ED583B0F}"/>
    <cellStyle name="60% - Accent3 2" xfId="77" xr:uid="{F3936455-4557-4C3D-9256-5C3C6FBB89B0}"/>
    <cellStyle name="60% - Accent3 3" xfId="76" xr:uid="{728728D6-A1EC-412F-80E4-7467CC9F72AA}"/>
    <cellStyle name="60% - Accent4 2" xfId="79" xr:uid="{44114A29-D3F2-44C0-8415-62B5A36D97F6}"/>
    <cellStyle name="60% - Accent4 3" xfId="78" xr:uid="{4FB34707-7D0F-4495-A1B8-B6462A218FE5}"/>
    <cellStyle name="60% - Accent5 2" xfId="81" xr:uid="{E85783F6-1842-4094-81D1-CEBD6BF922D3}"/>
    <cellStyle name="60% - Accent5 3" xfId="80" xr:uid="{458129B7-3ED9-491F-BE36-2D3F429AA8BA}"/>
    <cellStyle name="60% - Accent6 2" xfId="83" xr:uid="{213A2B79-81E6-4764-A14F-FECE49D062B2}"/>
    <cellStyle name="60% - Accent6 3" xfId="82" xr:uid="{6886C23A-176C-4988-A038-1705EAB57209}"/>
    <cellStyle name="Accent1" xfId="18" builtinId="29" customBuiltin="1"/>
    <cellStyle name="Accent1 2" xfId="84" xr:uid="{BC342674-CB7D-480C-AE16-7FA162413530}"/>
    <cellStyle name="Accent2" xfId="21" builtinId="33" customBuiltin="1"/>
    <cellStyle name="Accent2 2" xfId="85" xr:uid="{14A96B44-C5C8-49D4-ABA5-409E2B7EEF71}"/>
    <cellStyle name="Accent3" xfId="24" builtinId="37" customBuiltin="1"/>
    <cellStyle name="Accent3 2" xfId="86" xr:uid="{5EF9DF49-17C4-4A35-BA72-DC880C2A6F75}"/>
    <cellStyle name="Accent4" xfId="27" builtinId="41" customBuiltin="1"/>
    <cellStyle name="Accent4 2" xfId="87" xr:uid="{E9685E3B-43CA-48A4-BB44-CB1D84158A61}"/>
    <cellStyle name="Accent5" xfId="30" builtinId="45" customBuiltin="1"/>
    <cellStyle name="Accent5 2" xfId="88" xr:uid="{FB026DE0-2F59-42B5-AA8F-224C7A63EA03}"/>
    <cellStyle name="Accent6" xfId="33" builtinId="49" customBuiltin="1"/>
    <cellStyle name="Accent6 2" xfId="89" xr:uid="{9E6740A4-FDF6-4894-AE50-EF653D6A5849}"/>
    <cellStyle name="Bad" xfId="8" builtinId="27" customBuiltin="1"/>
    <cellStyle name="Bad 2" xfId="90" xr:uid="{A129361A-A68B-41A1-9DCD-58EEBDBB9D7A}"/>
    <cellStyle name="Best" xfId="91" xr:uid="{AD08E12E-3815-4FE0-B7EB-95568B7E06EA}"/>
    <cellStyle name="Calc Currency (0)" xfId="92" xr:uid="{429B9CFC-FDA7-415D-8A4B-AF49AFF922EF}"/>
    <cellStyle name="Calculation" xfId="11" builtinId="22" customBuiltin="1"/>
    <cellStyle name="Calculation 2" xfId="93" xr:uid="{5E5FAF6F-7630-4210-90BB-436B300124B0}"/>
    <cellStyle name="Check Cell" xfId="13" builtinId="23" customBuiltin="1"/>
    <cellStyle name="Check Cell 2" xfId="94" xr:uid="{4AC19532-422B-4960-867C-361F028D4C0C}"/>
    <cellStyle name="Comma 10" xfId="95" xr:uid="{79A986C0-35A4-4EE7-B1E0-2D1BBF7F89F3}"/>
    <cellStyle name="Comma 11" xfId="96" xr:uid="{5149A6DF-669E-4D91-9E23-2BA5CC1FF8E8}"/>
    <cellStyle name="Comma 2" xfId="97" xr:uid="{6C9791FC-9EE9-423B-8037-6DE89C954BCC}"/>
    <cellStyle name="Comma 3" xfId="98" xr:uid="{ECE60DFA-3A39-4A8B-B154-6F0E3AB33360}"/>
    <cellStyle name="Comma 4" xfId="99" xr:uid="{515213AB-4981-4E96-8469-0754EB146E9F}"/>
    <cellStyle name="Comma 5" xfId="100" xr:uid="{5940B2D9-4103-4156-BC4A-E8D97954E77B}"/>
    <cellStyle name="Comma 6" xfId="101" xr:uid="{BDF5EF33-7660-4345-9CD5-4FA67AACE21A}"/>
    <cellStyle name="Comma 7" xfId="102" xr:uid="{1BE482FA-306B-4B95-B675-C4DFDECE4806}"/>
    <cellStyle name="Comma 8" xfId="103" xr:uid="{B036E7CF-2868-4EAA-A3F0-17B0E24A6FEA}"/>
    <cellStyle name="Comma 9" xfId="104" xr:uid="{5FCA9067-9FE2-47B7-94F6-44DC8B987035}"/>
    <cellStyle name="Copied" xfId="105" xr:uid="{91ABED63-AC14-4BD1-AFCE-C24661693F4C}"/>
    <cellStyle name="Currency 2" xfId="106" xr:uid="{B9A1D199-7E46-4C04-8726-099F1454F1B5}"/>
    <cellStyle name="Entered" xfId="107" xr:uid="{12574AE7-7AE6-4C6B-A34D-BCC869030523}"/>
    <cellStyle name="Explanatory Text" xfId="16" builtinId="53" customBuiltin="1"/>
    <cellStyle name="Explanatory Text 2" xfId="108" xr:uid="{513B43DF-96AA-4F6C-845B-9B022552000F}"/>
    <cellStyle name="Good" xfId="7" builtinId="26" customBuiltin="1"/>
    <cellStyle name="Good 2" xfId="109" xr:uid="{E8A17A62-437A-4AFC-B9EF-D81B392C7A73}"/>
    <cellStyle name="Grey" xfId="110" xr:uid="{FCBB6C5C-6042-426A-BF05-800AAE559F84}"/>
    <cellStyle name="Header1" xfId="111" xr:uid="{E0B1E4AC-0B11-4750-B498-ACA9764DCF9C}"/>
    <cellStyle name="Header2" xfId="112" xr:uid="{556F13F2-6EF6-49EC-9D29-403D66116F19}"/>
    <cellStyle name="Heading 1" xfId="3" builtinId="16" customBuiltin="1"/>
    <cellStyle name="Heading 1 2" xfId="113" xr:uid="{8C6DC7A2-93D1-4506-8086-F82564232B84}"/>
    <cellStyle name="Heading 2" xfId="4" builtinId="17" customBuiltin="1"/>
    <cellStyle name="Heading 2 2" xfId="114" xr:uid="{0F7C73A9-DA39-4C55-B938-94C65A53D608}"/>
    <cellStyle name="Heading 3" xfId="5" builtinId="18" customBuiltin="1"/>
    <cellStyle name="Heading 3 2" xfId="115" xr:uid="{56A7EBEF-FDE4-449A-AC52-ECFAE04C2A22}"/>
    <cellStyle name="Heading 4" xfId="6" builtinId="19" customBuiltin="1"/>
    <cellStyle name="Heading 4 2" xfId="116" xr:uid="{987F1F23-E8FE-4755-8C98-7D61B6D53D59}"/>
    <cellStyle name="Input" xfId="9" builtinId="20" customBuiltin="1"/>
    <cellStyle name="Input [yellow]" xfId="117" xr:uid="{72E7BE58-7EE7-4DEC-A68B-83275D6C575C}"/>
    <cellStyle name="Input 2" xfId="118" xr:uid="{C6803DFC-12C2-4D4E-BC42-17AEF34C63D0}"/>
    <cellStyle name="Linked Cell" xfId="12" builtinId="24" customBuiltin="1"/>
    <cellStyle name="Linked Cell 2" xfId="119" xr:uid="{FC0BF02C-B772-44BD-A0F2-75C8856C64D9}"/>
    <cellStyle name="Neutral 2" xfId="121" xr:uid="{F36F86E5-0F71-46B1-BEFE-3977D0C4C263}"/>
    <cellStyle name="Neutral 3" xfId="120" xr:uid="{E455E222-0324-44AD-96DB-D57F4E4B366E}"/>
    <cellStyle name="Normal" xfId="0" builtinId="0"/>
    <cellStyle name="Normal - Style1" xfId="122" xr:uid="{330BEA56-0750-494B-9810-A533657D9F14}"/>
    <cellStyle name="Normal 10" xfId="123" xr:uid="{9092CE53-B847-402D-9BD1-60AA87A21A96}"/>
    <cellStyle name="Normal 10 2" xfId="124" xr:uid="{5C0DBA0C-1928-4A76-9E09-E957B870DBD5}"/>
    <cellStyle name="Normal 11" xfId="125" xr:uid="{B9DB56B0-7178-4F43-BCFA-F018D7E50490}"/>
    <cellStyle name="Normal 11 2" xfId="126" xr:uid="{7D5005A5-AC76-483E-9B12-35A81F6C098E}"/>
    <cellStyle name="Normal 12" xfId="127" xr:uid="{2F5B8E68-4B85-4C7E-83B5-0E90F9EC8FC2}"/>
    <cellStyle name="Normal 13" xfId="128" xr:uid="{927CA375-4F73-4630-9212-B4E0465866AF}"/>
    <cellStyle name="Normal 14" xfId="129" xr:uid="{B008BB1F-8BA0-482B-AF94-85434BC5BDA1}"/>
    <cellStyle name="Normal 15" xfId="130" xr:uid="{F2D5A527-0B07-455D-B2E2-A6E8304F94CD}"/>
    <cellStyle name="Normal 16" xfId="1" xr:uid="{015D8A26-1D9F-4DE7-B6A3-5B6196A1B35E}"/>
    <cellStyle name="Normal 17" xfId="131" xr:uid="{4AE60167-636B-4C73-B074-610C3AE5D246}"/>
    <cellStyle name="Normal 18" xfId="132" xr:uid="{D4FDFA66-7C2B-4D24-8A78-7A6003AC6E75}"/>
    <cellStyle name="Normal 19" xfId="133" xr:uid="{E412640E-17C6-4C51-92A9-62B72B7BFBE2}"/>
    <cellStyle name="Normal 2" xfId="134" xr:uid="{0FD215D6-42D7-4C64-B611-68702EE48E64}"/>
    <cellStyle name="Normal 2 2" xfId="135" xr:uid="{864A4D52-C1AA-409F-A8B1-D46C1AC732BC}"/>
    <cellStyle name="Normal 2 2 2" xfId="136" xr:uid="{6EEBB303-B521-42DB-BA7B-C4FF17330A39}"/>
    <cellStyle name="Normal 2 3" xfId="137" xr:uid="{F069DC3D-4072-4310-869E-F4660325A6E4}"/>
    <cellStyle name="Normal 2 3 2" xfId="138" xr:uid="{6DA4CAF9-5170-4506-A249-F4165E87BA5A}"/>
    <cellStyle name="Normal 3" xfId="139" xr:uid="{79644D8C-D1F1-4916-B321-E00866685119}"/>
    <cellStyle name="Normal 4" xfId="2" xr:uid="{8C0D663D-B679-4903-BB6C-B45A79F0D097}"/>
    <cellStyle name="Normal 5" xfId="140" xr:uid="{0281668E-30D5-4653-B092-478B43584CA6}"/>
    <cellStyle name="Normal 6" xfId="141" xr:uid="{370EE628-6198-4539-BC85-AF3D51C4E843}"/>
    <cellStyle name="Normal 7" xfId="142" xr:uid="{B9956BF0-2D3F-4234-B0B9-91BA28C2BC5B}"/>
    <cellStyle name="Normal 7 2" xfId="143" xr:uid="{1C8035CE-75A1-4B67-BB4A-D12563CBBCEB}"/>
    <cellStyle name="Normal 8" xfId="144" xr:uid="{9329F9AA-2DE3-4276-BA33-D8AD988ED36F}"/>
    <cellStyle name="Normal 8 2" xfId="145" xr:uid="{780643CF-80FC-467D-979D-608C4B791779}"/>
    <cellStyle name="Normal 9" xfId="146" xr:uid="{BE420CB6-C484-4B6D-AD81-0D2F7489E942}"/>
    <cellStyle name="Note" xfId="15" builtinId="10" customBuiltin="1"/>
    <cellStyle name="Note 2" xfId="147" xr:uid="{B00A06B8-A067-4CAF-96A7-EDA871C09731}"/>
    <cellStyle name="Note 3" xfId="148" xr:uid="{0F94C78E-3EE4-4E88-BE65-2D95C2783797}"/>
    <cellStyle name="Note 4" xfId="149" xr:uid="{748779C3-01D2-4A3F-960E-25F6E59E2803}"/>
    <cellStyle name="Output" xfId="10" builtinId="21" customBuiltin="1"/>
    <cellStyle name="Output 2" xfId="150" xr:uid="{20DB3061-37F5-4958-9440-798A5E22E4DD}"/>
    <cellStyle name="Percent [2]" xfId="151" xr:uid="{C6E572F8-60FC-44EF-BE31-76F768C88EC2}"/>
    <cellStyle name="Percent 2" xfId="152" xr:uid="{0B1D57F7-E754-4481-8A28-E21993A59833}"/>
    <cellStyle name="RevList" xfId="153" xr:uid="{B9F8F066-0C8F-483E-AA2B-69257D571E69}"/>
    <cellStyle name="Subtotal" xfId="154" xr:uid="{CCF744AE-5A33-429F-BFDC-DA7EC3E4F6DF}"/>
    <cellStyle name="Title 2" xfId="155" xr:uid="{CA27E246-BDBE-48DA-A0C2-B280F1FDDEFF}"/>
    <cellStyle name="Total" xfId="17" builtinId="25" customBuiltin="1"/>
    <cellStyle name="Total 2" xfId="156" xr:uid="{9AE3EF1D-95C1-496E-AE73-E6D0CEF71A2F}"/>
    <cellStyle name="Warning Text" xfId="14" builtinId="11" customBuiltin="1"/>
    <cellStyle name="Warning Text 2" xfId="157" xr:uid="{C6E18B45-E82D-4665-ABAE-149A042F99DE}"/>
  </cellStyles>
  <dxfs count="0"/>
  <tableStyles count="1" defaultTableStyle="TableStyleMedium2" defaultPivotStyle="PivotStyleLight16">
    <tableStyle name="Invisible" pivot="0" table="0" count="0" xr9:uid="{B2897B14-16FE-4141-9BE0-F2A7D50CB4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57150</xdr:rowOff>
    </xdr:from>
    <xdr:to>
      <xdr:col>0</xdr:col>
      <xdr:colOff>800100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CE3D4-1608-4955-B0C0-98344974B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7150"/>
          <a:ext cx="7905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8B7C-D417-403D-A6CB-BD43B332177A}">
  <sheetPr>
    <pageSetUpPr fitToPage="1"/>
  </sheetPr>
  <dimension ref="A1:P33"/>
  <sheetViews>
    <sheetView tabSelected="1" zoomScale="85" zoomScaleNormal="85" zoomScaleSheetLayoutView="70" workbookViewId="0">
      <selection activeCell="A30" sqref="A30:N30"/>
    </sheetView>
  </sheetViews>
  <sheetFormatPr defaultColWidth="0" defaultRowHeight="0" customHeight="1" zeroHeight="1" x14ac:dyDescent="0.25"/>
  <cols>
    <col min="1" max="1" width="19.85546875" style="4" customWidth="1"/>
    <col min="2" max="13" width="10.28515625" style="4" customWidth="1"/>
    <col min="14" max="14" width="10.85546875" style="4" customWidth="1"/>
    <col min="15" max="255" width="0" style="1" hidden="1"/>
    <col min="256" max="256" width="19.85546875" style="1" customWidth="1"/>
    <col min="257" max="268" width="10.28515625" style="1" customWidth="1"/>
    <col min="269" max="269" width="10.85546875" style="1" customWidth="1"/>
    <col min="270" max="270" width="9.140625" style="1" customWidth="1"/>
    <col min="271" max="511" width="0" style="1" hidden="1"/>
    <col min="512" max="512" width="19.85546875" style="1" customWidth="1"/>
    <col min="513" max="524" width="10.28515625" style="1" customWidth="1"/>
    <col min="525" max="525" width="10.85546875" style="1" customWidth="1"/>
    <col min="526" max="526" width="9.140625" style="1" customWidth="1"/>
    <col min="527" max="767" width="0" style="1" hidden="1"/>
    <col min="768" max="768" width="19.85546875" style="1" customWidth="1"/>
    <col min="769" max="780" width="10.28515625" style="1" customWidth="1"/>
    <col min="781" max="781" width="10.85546875" style="1" customWidth="1"/>
    <col min="782" max="782" width="9.140625" style="1" customWidth="1"/>
    <col min="783" max="1023" width="0" style="1" hidden="1"/>
    <col min="1024" max="1024" width="19.85546875" style="1" customWidth="1"/>
    <col min="1025" max="1036" width="10.28515625" style="1" customWidth="1"/>
    <col min="1037" max="1037" width="10.85546875" style="1" customWidth="1"/>
    <col min="1038" max="1038" width="9.140625" style="1" customWidth="1"/>
    <col min="1039" max="1279" width="0" style="1" hidden="1"/>
    <col min="1280" max="1280" width="19.85546875" style="1" customWidth="1"/>
    <col min="1281" max="1292" width="10.28515625" style="1" customWidth="1"/>
    <col min="1293" max="1293" width="10.85546875" style="1" customWidth="1"/>
    <col min="1294" max="1294" width="9.140625" style="1" customWidth="1"/>
    <col min="1295" max="1535" width="0" style="1" hidden="1"/>
    <col min="1536" max="1536" width="19.85546875" style="1" customWidth="1"/>
    <col min="1537" max="1548" width="10.28515625" style="1" customWidth="1"/>
    <col min="1549" max="1549" width="10.85546875" style="1" customWidth="1"/>
    <col min="1550" max="1550" width="9.140625" style="1" customWidth="1"/>
    <col min="1551" max="1791" width="0" style="1" hidden="1"/>
    <col min="1792" max="1792" width="19.85546875" style="1" customWidth="1"/>
    <col min="1793" max="1804" width="10.28515625" style="1" customWidth="1"/>
    <col min="1805" max="1805" width="10.85546875" style="1" customWidth="1"/>
    <col min="1806" max="1806" width="9.140625" style="1" customWidth="1"/>
    <col min="1807" max="2047" width="0" style="1" hidden="1"/>
    <col min="2048" max="2048" width="19.85546875" style="1" customWidth="1"/>
    <col min="2049" max="2060" width="10.28515625" style="1" customWidth="1"/>
    <col min="2061" max="2061" width="10.85546875" style="1" customWidth="1"/>
    <col min="2062" max="2062" width="9.140625" style="1" customWidth="1"/>
    <col min="2063" max="2303" width="0" style="1" hidden="1"/>
    <col min="2304" max="2304" width="19.85546875" style="1" customWidth="1"/>
    <col min="2305" max="2316" width="10.28515625" style="1" customWidth="1"/>
    <col min="2317" max="2317" width="10.85546875" style="1" customWidth="1"/>
    <col min="2318" max="2318" width="9.140625" style="1" customWidth="1"/>
    <col min="2319" max="2559" width="0" style="1" hidden="1"/>
    <col min="2560" max="2560" width="19.85546875" style="1" customWidth="1"/>
    <col min="2561" max="2572" width="10.28515625" style="1" customWidth="1"/>
    <col min="2573" max="2573" width="10.85546875" style="1" customWidth="1"/>
    <col min="2574" max="2574" width="9.140625" style="1" customWidth="1"/>
    <col min="2575" max="2815" width="0" style="1" hidden="1"/>
    <col min="2816" max="2816" width="19.85546875" style="1" customWidth="1"/>
    <col min="2817" max="2828" width="10.28515625" style="1" customWidth="1"/>
    <col min="2829" max="2829" width="10.85546875" style="1" customWidth="1"/>
    <col min="2830" max="2830" width="9.140625" style="1" customWidth="1"/>
    <col min="2831" max="3071" width="0" style="1" hidden="1"/>
    <col min="3072" max="3072" width="19.85546875" style="1" customWidth="1"/>
    <col min="3073" max="3084" width="10.28515625" style="1" customWidth="1"/>
    <col min="3085" max="3085" width="10.85546875" style="1" customWidth="1"/>
    <col min="3086" max="3086" width="9.140625" style="1" customWidth="1"/>
    <col min="3087" max="3327" width="0" style="1" hidden="1"/>
    <col min="3328" max="3328" width="19.85546875" style="1" customWidth="1"/>
    <col min="3329" max="3340" width="10.28515625" style="1" customWidth="1"/>
    <col min="3341" max="3341" width="10.85546875" style="1" customWidth="1"/>
    <col min="3342" max="3342" width="9.140625" style="1" customWidth="1"/>
    <col min="3343" max="3583" width="0" style="1" hidden="1"/>
    <col min="3584" max="3584" width="19.85546875" style="1" customWidth="1"/>
    <col min="3585" max="3596" width="10.28515625" style="1" customWidth="1"/>
    <col min="3597" max="3597" width="10.85546875" style="1" customWidth="1"/>
    <col min="3598" max="3598" width="9.140625" style="1" customWidth="1"/>
    <col min="3599" max="3839" width="0" style="1" hidden="1"/>
    <col min="3840" max="3840" width="19.85546875" style="1" customWidth="1"/>
    <col min="3841" max="3852" width="10.28515625" style="1" customWidth="1"/>
    <col min="3853" max="3853" width="10.85546875" style="1" customWidth="1"/>
    <col min="3854" max="3854" width="9.140625" style="1" customWidth="1"/>
    <col min="3855" max="4095" width="0" style="1" hidden="1"/>
    <col min="4096" max="4096" width="19.85546875" style="1" customWidth="1"/>
    <col min="4097" max="4108" width="10.28515625" style="1" customWidth="1"/>
    <col min="4109" max="4109" width="10.85546875" style="1" customWidth="1"/>
    <col min="4110" max="4110" width="9.140625" style="1" customWidth="1"/>
    <col min="4111" max="4351" width="0" style="1" hidden="1"/>
    <col min="4352" max="4352" width="19.85546875" style="1" customWidth="1"/>
    <col min="4353" max="4364" width="10.28515625" style="1" customWidth="1"/>
    <col min="4365" max="4365" width="10.85546875" style="1" customWidth="1"/>
    <col min="4366" max="4366" width="9.140625" style="1" customWidth="1"/>
    <col min="4367" max="4607" width="0" style="1" hidden="1"/>
    <col min="4608" max="4608" width="19.85546875" style="1" customWidth="1"/>
    <col min="4609" max="4620" width="10.28515625" style="1" customWidth="1"/>
    <col min="4621" max="4621" width="10.85546875" style="1" customWidth="1"/>
    <col min="4622" max="4622" width="9.140625" style="1" customWidth="1"/>
    <col min="4623" max="4863" width="0" style="1" hidden="1"/>
    <col min="4864" max="4864" width="19.85546875" style="1" customWidth="1"/>
    <col min="4865" max="4876" width="10.28515625" style="1" customWidth="1"/>
    <col min="4877" max="4877" width="10.85546875" style="1" customWidth="1"/>
    <col min="4878" max="4878" width="9.140625" style="1" customWidth="1"/>
    <col min="4879" max="5119" width="0" style="1" hidden="1"/>
    <col min="5120" max="5120" width="19.85546875" style="1" customWidth="1"/>
    <col min="5121" max="5132" width="10.28515625" style="1" customWidth="1"/>
    <col min="5133" max="5133" width="10.85546875" style="1" customWidth="1"/>
    <col min="5134" max="5134" width="9.140625" style="1" customWidth="1"/>
    <col min="5135" max="5375" width="0" style="1" hidden="1"/>
    <col min="5376" max="5376" width="19.85546875" style="1" customWidth="1"/>
    <col min="5377" max="5388" width="10.28515625" style="1" customWidth="1"/>
    <col min="5389" max="5389" width="10.85546875" style="1" customWidth="1"/>
    <col min="5390" max="5390" width="9.140625" style="1" customWidth="1"/>
    <col min="5391" max="5631" width="0" style="1" hidden="1"/>
    <col min="5632" max="5632" width="19.85546875" style="1" customWidth="1"/>
    <col min="5633" max="5644" width="10.28515625" style="1" customWidth="1"/>
    <col min="5645" max="5645" width="10.85546875" style="1" customWidth="1"/>
    <col min="5646" max="5646" width="9.140625" style="1" customWidth="1"/>
    <col min="5647" max="5887" width="0" style="1" hidden="1"/>
    <col min="5888" max="5888" width="19.85546875" style="1" customWidth="1"/>
    <col min="5889" max="5900" width="10.28515625" style="1" customWidth="1"/>
    <col min="5901" max="5901" width="10.85546875" style="1" customWidth="1"/>
    <col min="5902" max="5902" width="9.140625" style="1" customWidth="1"/>
    <col min="5903" max="6143" width="0" style="1" hidden="1"/>
    <col min="6144" max="6144" width="19.85546875" style="1" customWidth="1"/>
    <col min="6145" max="6156" width="10.28515625" style="1" customWidth="1"/>
    <col min="6157" max="6157" width="10.85546875" style="1" customWidth="1"/>
    <col min="6158" max="6158" width="9.140625" style="1" customWidth="1"/>
    <col min="6159" max="6399" width="0" style="1" hidden="1"/>
    <col min="6400" max="6400" width="19.85546875" style="1" customWidth="1"/>
    <col min="6401" max="6412" width="10.28515625" style="1" customWidth="1"/>
    <col min="6413" max="6413" width="10.85546875" style="1" customWidth="1"/>
    <col min="6414" max="6414" width="9.140625" style="1" customWidth="1"/>
    <col min="6415" max="6655" width="0" style="1" hidden="1"/>
    <col min="6656" max="6656" width="19.85546875" style="1" customWidth="1"/>
    <col min="6657" max="6668" width="10.28515625" style="1" customWidth="1"/>
    <col min="6669" max="6669" width="10.85546875" style="1" customWidth="1"/>
    <col min="6670" max="6670" width="9.140625" style="1" customWidth="1"/>
    <col min="6671" max="6911" width="0" style="1" hidden="1"/>
    <col min="6912" max="6912" width="19.85546875" style="1" customWidth="1"/>
    <col min="6913" max="6924" width="10.28515625" style="1" customWidth="1"/>
    <col min="6925" max="6925" width="10.85546875" style="1" customWidth="1"/>
    <col min="6926" max="6926" width="9.140625" style="1" customWidth="1"/>
    <col min="6927" max="7167" width="0" style="1" hidden="1"/>
    <col min="7168" max="7168" width="19.85546875" style="1" customWidth="1"/>
    <col min="7169" max="7180" width="10.28515625" style="1" customWidth="1"/>
    <col min="7181" max="7181" width="10.85546875" style="1" customWidth="1"/>
    <col min="7182" max="7182" width="9.140625" style="1" customWidth="1"/>
    <col min="7183" max="7423" width="0" style="1" hidden="1"/>
    <col min="7424" max="7424" width="19.85546875" style="1" customWidth="1"/>
    <col min="7425" max="7436" width="10.28515625" style="1" customWidth="1"/>
    <col min="7437" max="7437" width="10.85546875" style="1" customWidth="1"/>
    <col min="7438" max="7438" width="9.140625" style="1" customWidth="1"/>
    <col min="7439" max="7679" width="0" style="1" hidden="1"/>
    <col min="7680" max="7680" width="19.85546875" style="1" customWidth="1"/>
    <col min="7681" max="7692" width="10.28515625" style="1" customWidth="1"/>
    <col min="7693" max="7693" width="10.85546875" style="1" customWidth="1"/>
    <col min="7694" max="7694" width="9.140625" style="1" customWidth="1"/>
    <col min="7695" max="7935" width="0" style="1" hidden="1"/>
    <col min="7936" max="7936" width="19.85546875" style="1" customWidth="1"/>
    <col min="7937" max="7948" width="10.28515625" style="1" customWidth="1"/>
    <col min="7949" max="7949" width="10.85546875" style="1" customWidth="1"/>
    <col min="7950" max="7950" width="9.140625" style="1" customWidth="1"/>
    <col min="7951" max="8191" width="0" style="1" hidden="1"/>
    <col min="8192" max="8192" width="19.85546875" style="1" customWidth="1"/>
    <col min="8193" max="8204" width="10.28515625" style="1" customWidth="1"/>
    <col min="8205" max="8205" width="10.85546875" style="1" customWidth="1"/>
    <col min="8206" max="8206" width="9.140625" style="1" customWidth="1"/>
    <col min="8207" max="8447" width="0" style="1" hidden="1"/>
    <col min="8448" max="8448" width="19.85546875" style="1" customWidth="1"/>
    <col min="8449" max="8460" width="10.28515625" style="1" customWidth="1"/>
    <col min="8461" max="8461" width="10.85546875" style="1" customWidth="1"/>
    <col min="8462" max="8462" width="9.140625" style="1" customWidth="1"/>
    <col min="8463" max="8703" width="0" style="1" hidden="1"/>
    <col min="8704" max="8704" width="19.85546875" style="1" customWidth="1"/>
    <col min="8705" max="8716" width="10.28515625" style="1" customWidth="1"/>
    <col min="8717" max="8717" width="10.85546875" style="1" customWidth="1"/>
    <col min="8718" max="8718" width="9.140625" style="1" customWidth="1"/>
    <col min="8719" max="8959" width="0" style="1" hidden="1"/>
    <col min="8960" max="8960" width="19.85546875" style="1" customWidth="1"/>
    <col min="8961" max="8972" width="10.28515625" style="1" customWidth="1"/>
    <col min="8973" max="8973" width="10.85546875" style="1" customWidth="1"/>
    <col min="8974" max="8974" width="9.140625" style="1" customWidth="1"/>
    <col min="8975" max="9215" width="0" style="1" hidden="1"/>
    <col min="9216" max="9216" width="19.85546875" style="1" customWidth="1"/>
    <col min="9217" max="9228" width="10.28515625" style="1" customWidth="1"/>
    <col min="9229" max="9229" width="10.85546875" style="1" customWidth="1"/>
    <col min="9230" max="9230" width="9.140625" style="1" customWidth="1"/>
    <col min="9231" max="9471" width="0" style="1" hidden="1"/>
    <col min="9472" max="9472" width="19.85546875" style="1" customWidth="1"/>
    <col min="9473" max="9484" width="10.28515625" style="1" customWidth="1"/>
    <col min="9485" max="9485" width="10.85546875" style="1" customWidth="1"/>
    <col min="9486" max="9486" width="9.140625" style="1" customWidth="1"/>
    <col min="9487" max="9727" width="0" style="1" hidden="1"/>
    <col min="9728" max="9728" width="19.85546875" style="1" customWidth="1"/>
    <col min="9729" max="9740" width="10.28515625" style="1" customWidth="1"/>
    <col min="9741" max="9741" width="10.85546875" style="1" customWidth="1"/>
    <col min="9742" max="9742" width="9.140625" style="1" customWidth="1"/>
    <col min="9743" max="9983" width="0" style="1" hidden="1"/>
    <col min="9984" max="9984" width="19.85546875" style="1" customWidth="1"/>
    <col min="9985" max="9996" width="10.28515625" style="1" customWidth="1"/>
    <col min="9997" max="9997" width="10.85546875" style="1" customWidth="1"/>
    <col min="9998" max="9998" width="9.140625" style="1" customWidth="1"/>
    <col min="9999" max="10239" width="0" style="1" hidden="1"/>
    <col min="10240" max="10240" width="19.85546875" style="1" customWidth="1"/>
    <col min="10241" max="10252" width="10.28515625" style="1" customWidth="1"/>
    <col min="10253" max="10253" width="10.85546875" style="1" customWidth="1"/>
    <col min="10254" max="10254" width="9.140625" style="1" customWidth="1"/>
    <col min="10255" max="10495" width="0" style="1" hidden="1"/>
    <col min="10496" max="10496" width="19.85546875" style="1" customWidth="1"/>
    <col min="10497" max="10508" width="10.28515625" style="1" customWidth="1"/>
    <col min="10509" max="10509" width="10.85546875" style="1" customWidth="1"/>
    <col min="10510" max="10510" width="9.140625" style="1" customWidth="1"/>
    <col min="10511" max="10751" width="0" style="1" hidden="1"/>
    <col min="10752" max="10752" width="19.85546875" style="1" customWidth="1"/>
    <col min="10753" max="10764" width="10.28515625" style="1" customWidth="1"/>
    <col min="10765" max="10765" width="10.85546875" style="1" customWidth="1"/>
    <col min="10766" max="10766" width="9.140625" style="1" customWidth="1"/>
    <col min="10767" max="11007" width="0" style="1" hidden="1"/>
    <col min="11008" max="11008" width="19.85546875" style="1" customWidth="1"/>
    <col min="11009" max="11020" width="10.28515625" style="1" customWidth="1"/>
    <col min="11021" max="11021" width="10.85546875" style="1" customWidth="1"/>
    <col min="11022" max="11022" width="9.140625" style="1" customWidth="1"/>
    <col min="11023" max="11263" width="0" style="1" hidden="1"/>
    <col min="11264" max="11264" width="19.85546875" style="1" customWidth="1"/>
    <col min="11265" max="11276" width="10.28515625" style="1" customWidth="1"/>
    <col min="11277" max="11277" width="10.85546875" style="1" customWidth="1"/>
    <col min="11278" max="11278" width="9.140625" style="1" customWidth="1"/>
    <col min="11279" max="11519" width="0" style="1" hidden="1"/>
    <col min="11520" max="11520" width="19.85546875" style="1" customWidth="1"/>
    <col min="11521" max="11532" width="10.28515625" style="1" customWidth="1"/>
    <col min="11533" max="11533" width="10.85546875" style="1" customWidth="1"/>
    <col min="11534" max="11534" width="9.140625" style="1" customWidth="1"/>
    <col min="11535" max="11775" width="0" style="1" hidden="1"/>
    <col min="11776" max="11776" width="19.85546875" style="1" customWidth="1"/>
    <col min="11777" max="11788" width="10.28515625" style="1" customWidth="1"/>
    <col min="11789" max="11789" width="10.85546875" style="1" customWidth="1"/>
    <col min="11790" max="11790" width="9.140625" style="1" customWidth="1"/>
    <col min="11791" max="12031" width="0" style="1" hidden="1"/>
    <col min="12032" max="12032" width="19.85546875" style="1" customWidth="1"/>
    <col min="12033" max="12044" width="10.28515625" style="1" customWidth="1"/>
    <col min="12045" max="12045" width="10.85546875" style="1" customWidth="1"/>
    <col min="12046" max="12046" width="9.140625" style="1" customWidth="1"/>
    <col min="12047" max="12287" width="0" style="1" hidden="1"/>
    <col min="12288" max="12288" width="19.85546875" style="1" customWidth="1"/>
    <col min="12289" max="12300" width="10.28515625" style="1" customWidth="1"/>
    <col min="12301" max="12301" width="10.85546875" style="1" customWidth="1"/>
    <col min="12302" max="12302" width="9.140625" style="1" customWidth="1"/>
    <col min="12303" max="12543" width="0" style="1" hidden="1"/>
    <col min="12544" max="12544" width="19.85546875" style="1" customWidth="1"/>
    <col min="12545" max="12556" width="10.28515625" style="1" customWidth="1"/>
    <col min="12557" max="12557" width="10.85546875" style="1" customWidth="1"/>
    <col min="12558" max="12558" width="9.140625" style="1" customWidth="1"/>
    <col min="12559" max="12799" width="0" style="1" hidden="1"/>
    <col min="12800" max="12800" width="19.85546875" style="1" customWidth="1"/>
    <col min="12801" max="12812" width="10.28515625" style="1" customWidth="1"/>
    <col min="12813" max="12813" width="10.85546875" style="1" customWidth="1"/>
    <col min="12814" max="12814" width="9.140625" style="1" customWidth="1"/>
    <col min="12815" max="13055" width="0" style="1" hidden="1"/>
    <col min="13056" max="13056" width="19.85546875" style="1" customWidth="1"/>
    <col min="13057" max="13068" width="10.28515625" style="1" customWidth="1"/>
    <col min="13069" max="13069" width="10.85546875" style="1" customWidth="1"/>
    <col min="13070" max="13070" width="9.140625" style="1" customWidth="1"/>
    <col min="13071" max="13311" width="0" style="1" hidden="1"/>
    <col min="13312" max="13312" width="19.85546875" style="1" customWidth="1"/>
    <col min="13313" max="13324" width="10.28515625" style="1" customWidth="1"/>
    <col min="13325" max="13325" width="10.85546875" style="1" customWidth="1"/>
    <col min="13326" max="13326" width="9.140625" style="1" customWidth="1"/>
    <col min="13327" max="13567" width="0" style="1" hidden="1"/>
    <col min="13568" max="13568" width="19.85546875" style="1" customWidth="1"/>
    <col min="13569" max="13580" width="10.28515625" style="1" customWidth="1"/>
    <col min="13581" max="13581" width="10.85546875" style="1" customWidth="1"/>
    <col min="13582" max="13582" width="9.140625" style="1" customWidth="1"/>
    <col min="13583" max="13823" width="0" style="1" hidden="1"/>
    <col min="13824" max="13824" width="19.85546875" style="1" customWidth="1"/>
    <col min="13825" max="13836" width="10.28515625" style="1" customWidth="1"/>
    <col min="13837" max="13837" width="10.85546875" style="1" customWidth="1"/>
    <col min="13838" max="13838" width="9.140625" style="1" customWidth="1"/>
    <col min="13839" max="14079" width="0" style="1" hidden="1"/>
    <col min="14080" max="14080" width="19.85546875" style="1" customWidth="1"/>
    <col min="14081" max="14092" width="10.28515625" style="1" customWidth="1"/>
    <col min="14093" max="14093" width="10.85546875" style="1" customWidth="1"/>
    <col min="14094" max="14094" width="9.140625" style="1" customWidth="1"/>
    <col min="14095" max="14335" width="0" style="1" hidden="1"/>
    <col min="14336" max="14336" width="19.85546875" style="1" customWidth="1"/>
    <col min="14337" max="14348" width="10.28515625" style="1" customWidth="1"/>
    <col min="14349" max="14349" width="10.85546875" style="1" customWidth="1"/>
    <col min="14350" max="14350" width="9.140625" style="1" customWidth="1"/>
    <col min="14351" max="14591" width="0" style="1" hidden="1"/>
    <col min="14592" max="14592" width="19.85546875" style="1" customWidth="1"/>
    <col min="14593" max="14604" width="10.28515625" style="1" customWidth="1"/>
    <col min="14605" max="14605" width="10.85546875" style="1" customWidth="1"/>
    <col min="14606" max="14606" width="9.140625" style="1" customWidth="1"/>
    <col min="14607" max="14847" width="0" style="1" hidden="1"/>
    <col min="14848" max="14848" width="19.85546875" style="1" customWidth="1"/>
    <col min="14849" max="14860" width="10.28515625" style="1" customWidth="1"/>
    <col min="14861" max="14861" width="10.85546875" style="1" customWidth="1"/>
    <col min="14862" max="14862" width="9.140625" style="1" customWidth="1"/>
    <col min="14863" max="15103" width="0" style="1" hidden="1"/>
    <col min="15104" max="15104" width="19.85546875" style="1" customWidth="1"/>
    <col min="15105" max="15116" width="10.28515625" style="1" customWidth="1"/>
    <col min="15117" max="15117" width="10.85546875" style="1" customWidth="1"/>
    <col min="15118" max="15118" width="9.140625" style="1" customWidth="1"/>
    <col min="15119" max="15359" width="0" style="1" hidden="1"/>
    <col min="15360" max="15360" width="19.85546875" style="1" customWidth="1"/>
    <col min="15361" max="15372" width="10.28515625" style="1" customWidth="1"/>
    <col min="15373" max="15373" width="10.85546875" style="1" customWidth="1"/>
    <col min="15374" max="15374" width="9.140625" style="1" customWidth="1"/>
    <col min="15375" max="15615" width="0" style="1" hidden="1"/>
    <col min="15616" max="15616" width="19.85546875" style="1" customWidth="1"/>
    <col min="15617" max="15628" width="10.28515625" style="1" customWidth="1"/>
    <col min="15629" max="15629" width="10.85546875" style="1" customWidth="1"/>
    <col min="15630" max="15630" width="9.140625" style="1" customWidth="1"/>
    <col min="15631" max="15871" width="0" style="1" hidden="1"/>
    <col min="15872" max="15872" width="19.85546875" style="1" customWidth="1"/>
    <col min="15873" max="15884" width="10.28515625" style="1" customWidth="1"/>
    <col min="15885" max="15885" width="10.85546875" style="1" customWidth="1"/>
    <col min="15886" max="15886" width="9.140625" style="1" customWidth="1"/>
    <col min="15887" max="16127" width="0" style="1" hidden="1"/>
    <col min="16128" max="16128" width="19.85546875" style="1" customWidth="1"/>
    <col min="16129" max="16140" width="10.28515625" style="1" customWidth="1"/>
    <col min="16141" max="16141" width="10.85546875" style="1" customWidth="1"/>
    <col min="16142" max="16142" width="9.140625" style="1" customWidth="1"/>
    <col min="16143" max="16384" width="0" style="1" hidden="1"/>
  </cols>
  <sheetData>
    <row r="1" spans="1:16" ht="18.75" x14ac:dyDescent="0.3">
      <c r="A1" s="14"/>
      <c r="B1" s="15" t="s">
        <v>0</v>
      </c>
      <c r="C1" s="14"/>
      <c r="D1" s="15"/>
      <c r="E1" s="15"/>
      <c r="F1" s="15"/>
      <c r="G1" s="15"/>
      <c r="H1" s="15"/>
      <c r="I1" s="14"/>
      <c r="J1" s="14"/>
      <c r="K1" s="14"/>
      <c r="L1" s="14"/>
      <c r="M1" s="24" t="s">
        <v>1</v>
      </c>
      <c r="N1" s="24"/>
    </row>
    <row r="2" spans="1:16" ht="18.75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6" ht="18.75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6" ht="18.75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6" ht="18.75" x14ac:dyDescent="0.3">
      <c r="A5" s="6" t="s">
        <v>33</v>
      </c>
      <c r="B5" s="16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6" ht="18.75" x14ac:dyDescent="0.25">
      <c r="A6" s="25" t="s">
        <v>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</row>
    <row r="7" spans="1:16" ht="18.75" x14ac:dyDescent="0.25">
      <c r="A7" s="28" t="s">
        <v>36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30"/>
    </row>
    <row r="8" spans="1:16" ht="18.75" x14ac:dyDescent="0.25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</row>
    <row r="9" spans="1:16" ht="18.75" x14ac:dyDescent="0.3">
      <c r="A9" s="7" t="s">
        <v>17</v>
      </c>
      <c r="B9" s="12">
        <v>2191.8092001289997</v>
      </c>
      <c r="C9" s="12">
        <v>2114.4389060469998</v>
      </c>
      <c r="D9" s="13">
        <v>2185.1085377430009</v>
      </c>
      <c r="E9" s="13">
        <v>2349.1944477440011</v>
      </c>
      <c r="F9" s="13"/>
      <c r="G9" s="12"/>
      <c r="H9" s="12"/>
      <c r="I9" s="9"/>
      <c r="J9" s="9"/>
      <c r="K9" s="9"/>
      <c r="L9" s="9"/>
      <c r="M9" s="9"/>
      <c r="N9" s="11">
        <f>SUM(B9:M9)</f>
        <v>8840.551091663001</v>
      </c>
      <c r="O9" s="2"/>
      <c r="P9" s="3"/>
    </row>
    <row r="10" spans="1:16" ht="18.75" x14ac:dyDescent="0.3">
      <c r="A10" s="7" t="s">
        <v>18</v>
      </c>
      <c r="B10" s="12">
        <v>726.95487200000002</v>
      </c>
      <c r="C10" s="12">
        <v>951.35056299999997</v>
      </c>
      <c r="D10" s="13">
        <v>562.45013708300007</v>
      </c>
      <c r="E10" s="13">
        <v>829.40862108299996</v>
      </c>
      <c r="F10" s="13"/>
      <c r="G10" s="12"/>
      <c r="H10" s="12"/>
      <c r="I10" s="10"/>
      <c r="J10" s="10"/>
      <c r="K10" s="10"/>
      <c r="L10" s="10"/>
      <c r="M10" s="10"/>
      <c r="N10" s="11">
        <f t="shared" ref="N10:N20" si="0">SUM(B10:M10)</f>
        <v>3070.1641931660001</v>
      </c>
    </row>
    <row r="11" spans="1:16" ht="18.75" x14ac:dyDescent="0.3">
      <c r="A11" s="7" t="s">
        <v>19</v>
      </c>
      <c r="B11" s="12">
        <v>3684.235487579117</v>
      </c>
      <c r="C11" s="12">
        <v>3909.7944706313706</v>
      </c>
      <c r="D11" s="13">
        <v>3784.3244331041387</v>
      </c>
      <c r="E11" s="13">
        <v>3814.5746641837177</v>
      </c>
      <c r="F11" s="13"/>
      <c r="G11" s="12"/>
      <c r="H11" s="12"/>
      <c r="I11" s="9"/>
      <c r="J11" s="9"/>
      <c r="K11" s="9"/>
      <c r="L11" s="9"/>
      <c r="M11" s="9"/>
      <c r="N11" s="11">
        <f t="shared" si="0"/>
        <v>15192.929055498344</v>
      </c>
    </row>
    <row r="12" spans="1:16" ht="18.75" x14ac:dyDescent="0.3">
      <c r="A12" s="7" t="s">
        <v>20</v>
      </c>
      <c r="B12" s="12">
        <v>771.17991547617999</v>
      </c>
      <c r="C12" s="12">
        <v>783.44021246766317</v>
      </c>
      <c r="D12" s="13">
        <v>730.01355568499639</v>
      </c>
      <c r="E12" s="13">
        <v>705.45045216412802</v>
      </c>
      <c r="F12" s="13"/>
      <c r="G12" s="12"/>
      <c r="H12" s="12"/>
      <c r="I12" s="9"/>
      <c r="J12" s="9"/>
      <c r="K12" s="9"/>
      <c r="L12" s="9"/>
      <c r="M12" s="9"/>
      <c r="N12" s="11">
        <f t="shared" si="0"/>
        <v>2990.0841357929676</v>
      </c>
    </row>
    <row r="13" spans="1:16" ht="18.75" x14ac:dyDescent="0.3">
      <c r="A13" s="7" t="s">
        <v>21</v>
      </c>
      <c r="B13" s="12">
        <v>28.245727836575881</v>
      </c>
      <c r="C13" s="12">
        <v>31.788402498054477</v>
      </c>
      <c r="D13" s="13">
        <v>32.760407778988331</v>
      </c>
      <c r="E13" s="13">
        <v>43.613339253696495</v>
      </c>
      <c r="F13" s="13"/>
      <c r="G13" s="12"/>
      <c r="H13" s="12"/>
      <c r="I13" s="9"/>
      <c r="J13" s="9"/>
      <c r="K13" s="9"/>
      <c r="L13" s="9"/>
      <c r="M13" s="9"/>
      <c r="N13" s="11">
        <f t="shared" si="0"/>
        <v>136.40787736731519</v>
      </c>
      <c r="O13" s="2"/>
      <c r="P13" s="3"/>
    </row>
    <row r="14" spans="1:16" ht="18.75" x14ac:dyDescent="0.3">
      <c r="A14" s="7" t="s">
        <v>22</v>
      </c>
      <c r="B14" s="12">
        <v>8329.7982403951246</v>
      </c>
      <c r="C14" s="12">
        <v>8725.2875684584051</v>
      </c>
      <c r="D14" s="13">
        <v>8605.2844538420395</v>
      </c>
      <c r="E14" s="13">
        <v>8093.2067768229545</v>
      </c>
      <c r="F14" s="13"/>
      <c r="G14" s="12"/>
      <c r="H14" s="12"/>
      <c r="I14" s="9"/>
      <c r="J14" s="9"/>
      <c r="K14" s="9"/>
      <c r="L14" s="9"/>
      <c r="M14" s="9"/>
      <c r="N14" s="11">
        <f t="shared" si="0"/>
        <v>33753.577039518525</v>
      </c>
    </row>
    <row r="15" spans="1:16" ht="18.75" x14ac:dyDescent="0.3">
      <c r="A15" s="7" t="s">
        <v>23</v>
      </c>
      <c r="B15" s="12">
        <v>45.309583950511943</v>
      </c>
      <c r="C15" s="12">
        <v>46.537823643344709</v>
      </c>
      <c r="D15" s="13">
        <v>45.51806464163824</v>
      </c>
      <c r="E15" s="13">
        <v>65.917837295221844</v>
      </c>
      <c r="F15" s="13"/>
      <c r="G15" s="12"/>
      <c r="H15" s="12"/>
      <c r="I15" s="9"/>
      <c r="J15" s="9"/>
      <c r="K15" s="9"/>
      <c r="L15" s="9"/>
      <c r="M15" s="9"/>
      <c r="N15" s="11">
        <f t="shared" si="0"/>
        <v>203.28330953071674</v>
      </c>
    </row>
    <row r="16" spans="1:16" ht="18.75" x14ac:dyDescent="0.3">
      <c r="A16" s="7" t="s">
        <v>24</v>
      </c>
      <c r="B16" s="12">
        <v>361.57791684572891</v>
      </c>
      <c r="C16" s="12">
        <v>346.69997934808254</v>
      </c>
      <c r="D16" s="13">
        <v>370.48233337913467</v>
      </c>
      <c r="E16" s="13">
        <v>419.77147610029618</v>
      </c>
      <c r="F16" s="13"/>
      <c r="G16" s="12"/>
      <c r="H16" s="12"/>
      <c r="I16" s="9"/>
      <c r="J16" s="9"/>
      <c r="K16" s="9"/>
      <c r="L16" s="9"/>
      <c r="M16" s="9"/>
      <c r="N16" s="11">
        <f t="shared" si="0"/>
        <v>1498.5317056732424</v>
      </c>
    </row>
    <row r="17" spans="1:14" ht="18.75" x14ac:dyDescent="0.3">
      <c r="A17" s="7" t="s">
        <v>25</v>
      </c>
      <c r="B17" s="12">
        <v>480.83857519842741</v>
      </c>
      <c r="C17" s="12">
        <v>610.06422186935026</v>
      </c>
      <c r="D17" s="13">
        <v>496.97201285412604</v>
      </c>
      <c r="E17" s="13">
        <v>634.32720466904402</v>
      </c>
      <c r="F17" s="13"/>
      <c r="G17" s="12"/>
      <c r="H17" s="12"/>
      <c r="I17" s="9"/>
      <c r="J17" s="9"/>
      <c r="K17" s="9"/>
      <c r="L17" s="9"/>
      <c r="M17" s="9"/>
      <c r="N17" s="11">
        <f t="shared" si="0"/>
        <v>2222.2020145909473</v>
      </c>
    </row>
    <row r="18" spans="1:14" ht="18.75" x14ac:dyDescent="0.3">
      <c r="A18" s="7" t="s">
        <v>26</v>
      </c>
      <c r="B18" s="12">
        <v>412.2202289999999</v>
      </c>
      <c r="C18" s="12">
        <v>410.2782719999999</v>
      </c>
      <c r="D18" s="13">
        <v>555.92981925000004</v>
      </c>
      <c r="E18" s="13">
        <v>461.93233524999977</v>
      </c>
      <c r="F18" s="13"/>
      <c r="G18" s="12"/>
      <c r="H18" s="12"/>
      <c r="I18" s="9"/>
      <c r="J18" s="9"/>
      <c r="K18" s="9"/>
      <c r="L18" s="9"/>
      <c r="M18" s="9"/>
      <c r="N18" s="11">
        <f t="shared" si="0"/>
        <v>1840.3606554999997</v>
      </c>
    </row>
    <row r="19" spans="1:14" ht="18.75" x14ac:dyDescent="0.3">
      <c r="A19" s="7" t="s">
        <v>27</v>
      </c>
      <c r="B19" s="12">
        <v>1331.5319569999999</v>
      </c>
      <c r="C19" s="12">
        <v>1023.381898</v>
      </c>
      <c r="D19" s="13">
        <v>1432.0166679199999</v>
      </c>
      <c r="E19" s="13">
        <v>1658.3768659200002</v>
      </c>
      <c r="F19" s="13"/>
      <c r="G19" s="12"/>
      <c r="H19" s="12"/>
      <c r="I19" s="9"/>
      <c r="J19" s="9"/>
      <c r="K19" s="9"/>
      <c r="L19" s="9"/>
      <c r="M19" s="9"/>
      <c r="N19" s="11">
        <f t="shared" si="0"/>
        <v>5445.3073888400004</v>
      </c>
    </row>
    <row r="20" spans="1:14" ht="18.75" x14ac:dyDescent="0.3">
      <c r="A20" s="7" t="s">
        <v>28</v>
      </c>
      <c r="B20" s="12">
        <v>556.26837012060105</v>
      </c>
      <c r="C20" s="12">
        <v>624.81547569937254</v>
      </c>
      <c r="D20" s="13">
        <v>543.69298496845511</v>
      </c>
      <c r="E20" s="13">
        <v>841.48814775415553</v>
      </c>
      <c r="F20" s="13"/>
      <c r="G20" s="12"/>
      <c r="H20" s="12"/>
      <c r="I20" s="9"/>
      <c r="J20" s="9"/>
      <c r="K20" s="9"/>
      <c r="L20" s="9"/>
      <c r="M20" s="9"/>
      <c r="N20" s="11">
        <f t="shared" si="0"/>
        <v>2566.2649785425847</v>
      </c>
    </row>
    <row r="21" spans="1:14" ht="18.75" x14ac:dyDescent="0.3">
      <c r="A21" s="8" t="s">
        <v>16</v>
      </c>
      <c r="B21" s="11">
        <f t="shared" ref="B21:N21" si="1">SUM(B9:B20)</f>
        <v>18919.970075531262</v>
      </c>
      <c r="C21" s="11">
        <f t="shared" si="1"/>
        <v>19577.877793662643</v>
      </c>
      <c r="D21" s="11">
        <f t="shared" si="1"/>
        <v>19344.553408249521</v>
      </c>
      <c r="E21" s="11">
        <f t="shared" si="1"/>
        <v>19917.262168240213</v>
      </c>
      <c r="F21" s="11">
        <f t="shared" si="1"/>
        <v>0</v>
      </c>
      <c r="G21" s="11">
        <f t="shared" si="1"/>
        <v>0</v>
      </c>
      <c r="H21" s="11">
        <f t="shared" si="1"/>
        <v>0</v>
      </c>
      <c r="I21" s="11">
        <f t="shared" si="1"/>
        <v>0</v>
      </c>
      <c r="J21" s="11">
        <f t="shared" si="1"/>
        <v>0</v>
      </c>
      <c r="K21" s="11">
        <f t="shared" si="1"/>
        <v>0</v>
      </c>
      <c r="L21" s="11">
        <f t="shared" si="1"/>
        <v>0</v>
      </c>
      <c r="M21" s="11">
        <f t="shared" si="1"/>
        <v>0</v>
      </c>
      <c r="N21" s="11">
        <f t="shared" si="1"/>
        <v>77759.663445683647</v>
      </c>
    </row>
    <row r="22" spans="1:14" ht="19.5" x14ac:dyDescent="0.35">
      <c r="A22" s="17" t="s">
        <v>37</v>
      </c>
      <c r="B22" s="18"/>
      <c r="C22" s="18"/>
      <c r="D22" s="18"/>
      <c r="E22" s="19"/>
      <c r="F22" s="18"/>
      <c r="G22" s="18"/>
      <c r="H22" s="14"/>
      <c r="I22" s="14"/>
      <c r="J22" s="18"/>
      <c r="K22" s="18"/>
      <c r="L22" s="18"/>
      <c r="M22" s="18"/>
      <c r="N22" s="20"/>
    </row>
    <row r="23" spans="1:14" ht="15" x14ac:dyDescent="0.25">
      <c r="A23" s="21" t="s">
        <v>29</v>
      </c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2"/>
    </row>
    <row r="24" spans="1:14" ht="15" x14ac:dyDescent="0.25">
      <c r="A24" s="21" t="s">
        <v>34</v>
      </c>
      <c r="B24" s="1"/>
      <c r="C24" s="1"/>
      <c r="D24" s="1"/>
      <c r="E24" s="1"/>
      <c r="F24" s="1"/>
      <c r="G24" s="23"/>
      <c r="H24" s="1"/>
      <c r="I24" s="3"/>
      <c r="J24" s="1"/>
      <c r="K24" s="1"/>
      <c r="L24" s="1"/>
      <c r="M24" s="1"/>
      <c r="N24" s="22"/>
    </row>
    <row r="25" spans="1:14" ht="15" x14ac:dyDescent="0.25">
      <c r="A25" s="35" t="s">
        <v>30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7"/>
    </row>
    <row r="26" spans="1:14" ht="15" customHeight="1" x14ac:dyDescent="0.25">
      <c r="A26" s="38" t="s">
        <v>31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40"/>
    </row>
    <row r="27" spans="1:14" ht="18" customHeight="1" x14ac:dyDescent="0.3">
      <c r="A27" s="41" t="s">
        <v>38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3"/>
    </row>
    <row r="28" spans="1:14" ht="15.75" customHeight="1" x14ac:dyDescent="0.25">
      <c r="A28" s="44" t="s">
        <v>35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/>
    </row>
    <row r="29" spans="1:14" ht="15" customHeight="1" x14ac:dyDescent="0.25">
      <c r="A29" s="32" t="s">
        <v>39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4"/>
    </row>
    <row r="30" spans="1:14" ht="34.5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4"/>
    </row>
    <row r="31" spans="1:14" ht="18.75" x14ac:dyDescent="0.3">
      <c r="A31" s="31" t="s">
        <v>32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14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ht="15.75" x14ac:dyDescent="0.25"/>
  </sheetData>
  <mergeCells count="10">
    <mergeCell ref="M1:N1"/>
    <mergeCell ref="A6:N6"/>
    <mergeCell ref="A7:N7"/>
    <mergeCell ref="A31:N31"/>
    <mergeCell ref="A30:N30"/>
    <mergeCell ref="A25:N25"/>
    <mergeCell ref="A26:N26"/>
    <mergeCell ref="A27:N27"/>
    <mergeCell ref="A29:N29"/>
    <mergeCell ref="A28:N28"/>
  </mergeCells>
  <printOptions horizontalCentered="1"/>
  <pageMargins left="0.27" right="0.2" top="0.54" bottom="0.25" header="0.3" footer="0.3"/>
  <pageSetup paperSize="9" scale="89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Consumption</vt:lpstr>
      <vt:lpstr>Consumption!Print_Area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Kansal</dc:creator>
  <cp:lastModifiedBy>Raj Shekhar</cp:lastModifiedBy>
  <cp:lastPrinted>2025-12-06T11:13:56Z</cp:lastPrinted>
  <dcterms:created xsi:type="dcterms:W3CDTF">2024-03-06T12:23:44Z</dcterms:created>
  <dcterms:modified xsi:type="dcterms:W3CDTF">2026-08-06T10:18:59Z</dcterms:modified>
</cp:coreProperties>
</file>