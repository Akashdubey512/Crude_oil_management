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Monthly Activities\Y2 Data\2025-26\Mar-26 - Copy\March-26 Revised Web upload_10.07.2026\"/>
    </mc:Choice>
  </mc:AlternateContent>
  <bookViews>
    <workbookView xWindow="0" yWindow="0" windowWidth="20490" windowHeight="7620"/>
  </bookViews>
  <sheets>
    <sheet name="Consumption" sheetId="2" r:id="rId1"/>
  </sheets>
  <definedNames>
    <definedName name="_______________________________PG8" localSheetId="0">#REF!</definedName>
    <definedName name="_______________________________PG8">#REF!</definedName>
    <definedName name="______________________________PG8" localSheetId="0">#REF!</definedName>
    <definedName name="______________________________PG8">#REF!</definedName>
    <definedName name="_____________________________PG8" localSheetId="0">#REF!</definedName>
    <definedName name="_____________________________PG8">#REF!</definedName>
    <definedName name="____________________________PG8" localSheetId="0">#REF!</definedName>
    <definedName name="____________________________PG8">#REF!</definedName>
    <definedName name="___________________________PG8" localSheetId="0">#REF!</definedName>
    <definedName name="___________________________PG8">#REF!</definedName>
    <definedName name="__________________________PG8" localSheetId="0">#REF!</definedName>
    <definedName name="__________________________PG8">#REF!</definedName>
    <definedName name="_________________________PG8" localSheetId="0">#REF!</definedName>
    <definedName name="_________________________PG8">#REF!</definedName>
    <definedName name="________________________PG8" localSheetId="0">#REF!</definedName>
    <definedName name="________________________PG8">#REF!</definedName>
    <definedName name="_______________________PG8" localSheetId="0">#REF!</definedName>
    <definedName name="_______________________PG8">#REF!</definedName>
    <definedName name="______________________PG8" localSheetId="0">#REF!</definedName>
    <definedName name="______________________PG8">#REF!</definedName>
    <definedName name="_____________________PG8" localSheetId="0">#REF!</definedName>
    <definedName name="_____________________PG8">#REF!</definedName>
    <definedName name="____________________PG8" localSheetId="0">#REF!</definedName>
    <definedName name="____________________PG8">#REF!</definedName>
    <definedName name="___________________PG8" localSheetId="0">#REF!</definedName>
    <definedName name="___________________PG8">#REF!</definedName>
    <definedName name="__________________PG8" localSheetId="0">#REF!</definedName>
    <definedName name="__________________PG8">#REF!</definedName>
    <definedName name="_________________PG8" localSheetId="0">#REF!</definedName>
    <definedName name="_________________PG8">#REF!</definedName>
    <definedName name="________________PG8" localSheetId="0">#REF!</definedName>
    <definedName name="________________PG8">#REF!</definedName>
    <definedName name="_______________PG8" localSheetId="0">#REF!</definedName>
    <definedName name="_______________PG8">#REF!</definedName>
    <definedName name="______________PG8" localSheetId="0">#REF!</definedName>
    <definedName name="______________PG8">#REF!</definedName>
    <definedName name="_____________PG8" localSheetId="0">#REF!</definedName>
    <definedName name="_____________PG8">#REF!</definedName>
    <definedName name="____________PG8" localSheetId="0">#REF!</definedName>
    <definedName name="____________PG8">#REF!</definedName>
    <definedName name="___________PG8" localSheetId="0">#REF!</definedName>
    <definedName name="___________PG8">#REF!</definedName>
    <definedName name="__________PG8" localSheetId="0">#REF!</definedName>
    <definedName name="__________PG8">#REF!</definedName>
    <definedName name="_________PG8" localSheetId="0">#REF!</definedName>
    <definedName name="_________PG8">#REF!</definedName>
    <definedName name="________PG8" localSheetId="0">#REF!</definedName>
    <definedName name="________PG8">#REF!</definedName>
    <definedName name="_______PG8" localSheetId="0">#REF!</definedName>
    <definedName name="_______PG8">#REF!</definedName>
    <definedName name="______PG8" localSheetId="0">#REF!</definedName>
    <definedName name="______PG8">#REF!</definedName>
    <definedName name="_____PG8" localSheetId="0">#REF!</definedName>
    <definedName name="_____PG8">#REF!</definedName>
    <definedName name="____PG8" localSheetId="0">#REF!</definedName>
    <definedName name="____PG8">#REF!</definedName>
    <definedName name="___PG8" localSheetId="0">#REF!</definedName>
    <definedName name="___PG8">#REF!</definedName>
    <definedName name="__PG8" localSheetId="0">#REF!</definedName>
    <definedName name="__PG8">#REF!</definedName>
    <definedName name="_PG8" localSheetId="0">#REF!</definedName>
    <definedName name="_PG8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7" localSheetId="0">#REF!</definedName>
    <definedName name="PAGE7">#REF!</definedName>
    <definedName name="_xlnm.Print_Area" localSheetId="0">Consumption!$A$1:$N$32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M21" i="2"/>
  <c r="L21" i="2"/>
  <c r="K21" i="2"/>
  <c r="J21" i="2"/>
  <c r="I21" i="2"/>
  <c r="H21" i="2"/>
  <c r="F21" i="2"/>
  <c r="E21" i="2"/>
  <c r="D21" i="2"/>
  <c r="C21" i="2"/>
  <c r="B21" i="2"/>
  <c r="N20" i="2"/>
  <c r="N19" i="2"/>
  <c r="N18" i="2"/>
  <c r="N17" i="2"/>
  <c r="N16" i="2"/>
  <c r="N15" i="2"/>
  <c r="N14" i="2"/>
  <c r="N13" i="2"/>
  <c r="N12" i="2"/>
  <c r="N11" i="2"/>
  <c r="N10" i="2"/>
  <c r="N9" i="2"/>
  <c r="N21" i="2" l="1"/>
</calcChain>
</file>

<file path=xl/sharedStrings.xml><?xml version="1.0" encoding="utf-8"?>
<sst xmlns="http://schemas.openxmlformats.org/spreadsheetml/2006/main" count="42" uniqueCount="41">
  <si>
    <t>Petroleum Planning &amp; Analysis Cell</t>
  </si>
  <si>
    <t>Annexure-I</t>
  </si>
  <si>
    <t>('000 Metric Tonnes)</t>
  </si>
  <si>
    <t>PRODUCTS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</si>
  <si>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</si>
  <si>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</si>
  <si>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</si>
  <si>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</si>
  <si>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</si>
  <si>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</si>
  <si>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</si>
  <si>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</si>
  <si>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</si>
  <si>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</si>
  <si>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</si>
  <si>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</si>
  <si>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</si>
  <si>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LPG</t>
  </si>
  <si>
    <t>Naphtha</t>
  </si>
  <si>
    <t>MS</t>
  </si>
  <si>
    <t>ATF</t>
  </si>
  <si>
    <t>SKO</t>
  </si>
  <si>
    <t>HSD</t>
  </si>
  <si>
    <t>LDO</t>
  </si>
  <si>
    <t>Lubricants &amp; Greases</t>
  </si>
  <si>
    <t>FO &amp; LSHS</t>
  </si>
  <si>
    <t>Bitumen</t>
  </si>
  <si>
    <t>Petroleum coke</t>
  </si>
  <si>
    <t>Others</t>
  </si>
  <si>
    <t xml:space="preserve">i)   All figures are provisional. </t>
  </si>
  <si>
    <t>ii)  The source of information includes Oil Companies, DGCIS &amp; online SEZ data.</t>
  </si>
  <si>
    <t>iii)  The consumption estimates represent market demand and is aggregate of :</t>
  </si>
  <si>
    <t xml:space="preserve">      (a) actual sales by oil companies in domestic market</t>
  </si>
  <si>
    <t>PS : Monthwise Consumption data from 1998-99 can be accessed under Historical Section</t>
  </si>
  <si>
    <t xml:space="preserve">      (c)  sales by SEZ units in Domestic Tariff Area (DTA) are provisional due to portal upgradation</t>
  </si>
  <si>
    <t>Period : April-25 to March-26</t>
  </si>
  <si>
    <t xml:space="preserve"> MS Consumption include Ethanol Blending</t>
  </si>
  <si>
    <r>
      <t xml:space="preserve">DOMESTIC CONSUMPTION OF PETROLEUM PRODUCTS (P) </t>
    </r>
    <r>
      <rPr>
        <sz val="14"/>
        <rFont val="Times New Roman"/>
        <family val="1"/>
      </rPr>
      <t>(as on 06.04.2026)</t>
    </r>
  </si>
  <si>
    <r>
      <t xml:space="preserve">NOTE : </t>
    </r>
    <r>
      <rPr>
        <b/>
        <i/>
        <u/>
        <sz val="14"/>
        <color indexed="8"/>
        <rFont val="Times New Roman"/>
        <family val="1"/>
      </rPr>
      <t>P-Provisional, domestic consumption data as per 'Y2 report for FY2025-26' published on 06.04.2026</t>
    </r>
    <r>
      <rPr>
        <b/>
        <sz val="14"/>
        <color theme="1"/>
        <rFont val="Times New Roman"/>
        <family val="1"/>
      </rPr>
      <t>.</t>
    </r>
  </si>
  <si>
    <r>
      <t xml:space="preserve">(iv) Domestic POL consumption  for Mar'26 </t>
    </r>
    <r>
      <rPr>
        <sz val="11"/>
        <color indexed="8"/>
        <rFont val="Times New Roman"/>
        <family val="1"/>
      </rPr>
      <t>registered a de-growth of 0.5 % on YoY basis. POL during the month was driven by growth in MS at 7.6%, ATF at 0.7% and HSD at 8.1%.</t>
    </r>
  </si>
  <si>
    <t xml:space="preserve">      (b) consumption through direct imports by private parties (Private direct imports )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</si>
</sst>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rgb="FF000000"/>
      <name val="Times New Roman"/>
      <family val="1"/>
    </font>
    <font>
      <b/>
      <i/>
      <u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F70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7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vertical="top"/>
    </xf>
    <xf numFmtId="0" fontId="5" fillId="2" borderId="0" xfId="1" applyFont="1" applyFill="1"/>
    <xf numFmtId="0" fontId="7" fillId="2" borderId="0" xfId="2" applyFont="1" applyFill="1"/>
    <xf numFmtId="0" fontId="2" fillId="2" borderId="0" xfId="1" applyFont="1" applyFill="1" applyAlignment="1">
      <alignment horizontal="center"/>
    </xf>
    <xf numFmtId="0" fontId="7" fillId="4" borderId="4" xfId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1" fontId="2" fillId="0" borderId="5" xfId="1" applyNumberFormat="1" applyFont="1" applyBorder="1" applyAlignment="1">
      <alignment horizontal="center" vertical="center"/>
    </xf>
    <xf numFmtId="1" fontId="10" fillId="5" borderId="5" xfId="0" applyNumberFormat="1" applyFont="1" applyFill="1" applyBorder="1" applyAlignment="1">
      <alignment horizontal="center" vertical="center" wrapText="1"/>
    </xf>
    <xf numFmtId="1" fontId="4" fillId="0" borderId="5" xfId="1" applyNumberFormat="1" applyFont="1" applyBorder="1" applyAlignment="1">
      <alignment horizontal="center"/>
    </xf>
    <xf numFmtId="1" fontId="5" fillId="2" borderId="0" xfId="1" applyNumberFormat="1" applyFont="1" applyFill="1"/>
    <xf numFmtId="164" fontId="5" fillId="2" borderId="0" xfId="1" applyNumberFormat="1" applyFont="1" applyFill="1"/>
    <xf numFmtId="0" fontId="4" fillId="0" borderId="5" xfId="1" applyFont="1" applyBorder="1" applyAlignment="1">
      <alignment horizontal="left"/>
    </xf>
    <xf numFmtId="0" fontId="4" fillId="2" borderId="6" xfId="1" applyFont="1" applyFill="1" applyBorder="1"/>
    <xf numFmtId="1" fontId="4" fillId="2" borderId="7" xfId="1" applyNumberFormat="1" applyFont="1" applyFill="1" applyBorder="1"/>
    <xf numFmtId="165" fontId="4" fillId="2" borderId="7" xfId="1" applyNumberFormat="1" applyFont="1" applyFill="1" applyBorder="1"/>
    <xf numFmtId="1" fontId="4" fillId="2" borderId="8" xfId="1" applyNumberFormat="1" applyFont="1" applyFill="1" applyBorder="1"/>
    <xf numFmtId="0" fontId="5" fillId="2" borderId="9" xfId="1" applyFont="1" applyFill="1" applyBorder="1"/>
    <xf numFmtId="0" fontId="5" fillId="2" borderId="10" xfId="1" applyFont="1" applyFill="1" applyBorder="1"/>
    <xf numFmtId="164" fontId="12" fillId="2" borderId="0" xfId="1" applyNumberFormat="1" applyFont="1" applyFill="1"/>
    <xf numFmtId="0" fontId="14" fillId="2" borderId="0" xfId="1" applyFont="1" applyFill="1"/>
    <xf numFmtId="0" fontId="9" fillId="0" borderId="5" xfId="0" applyFont="1" applyBorder="1" applyAlignment="1">
      <alignment horizontal="left" vertical="center" wrapText="1"/>
    </xf>
    <xf numFmtId="0" fontId="4" fillId="2" borderId="9" xfId="1" applyFont="1" applyFill="1" applyBorder="1"/>
    <xf numFmtId="1" fontId="4" fillId="2" borderId="0" xfId="1" applyNumberFormat="1" applyFont="1" applyFill="1"/>
    <xf numFmtId="165" fontId="4" fillId="2" borderId="0" xfId="1" applyNumberFormat="1" applyFont="1" applyFill="1"/>
    <xf numFmtId="1" fontId="4" fillId="2" borderId="10" xfId="1" applyNumberFormat="1" applyFont="1" applyFill="1" applyBorder="1"/>
    <xf numFmtId="0" fontId="13" fillId="2" borderId="9" xfId="1" applyFont="1" applyFill="1" applyBorder="1" applyAlignment="1">
      <alignment horizontal="left" shrinkToFit="1"/>
    </xf>
    <xf numFmtId="0" fontId="13" fillId="2" borderId="0" xfId="1" applyFont="1" applyFill="1" applyAlignment="1">
      <alignment horizontal="left" shrinkToFit="1"/>
    </xf>
    <xf numFmtId="0" fontId="13" fillId="2" borderId="10" xfId="1" applyFont="1" applyFill="1" applyBorder="1" applyAlignment="1">
      <alignment horizontal="left" shrinkToFit="1"/>
    </xf>
    <xf numFmtId="0" fontId="13" fillId="2" borderId="9" xfId="1" applyFont="1" applyFill="1" applyBorder="1" applyAlignment="1">
      <alignment horizontal="left" wrapText="1" shrinkToFit="1"/>
    </xf>
    <xf numFmtId="0" fontId="13" fillId="2" borderId="0" xfId="1" applyFont="1" applyFill="1" applyAlignment="1">
      <alignment horizontal="left" wrapText="1" shrinkToFit="1"/>
    </xf>
    <xf numFmtId="0" fontId="13" fillId="2" borderId="10" xfId="1" applyFont="1" applyFill="1" applyBorder="1" applyAlignment="1">
      <alignment horizontal="left" wrapText="1" shrinkToFit="1"/>
    </xf>
    <xf numFmtId="0" fontId="4" fillId="2" borderId="5" xfId="1" applyFont="1" applyFill="1" applyBorder="1" applyAlignment="1">
      <alignment horizontal="left"/>
    </xf>
    <xf numFmtId="0" fontId="4" fillId="2" borderId="0" xfId="1" applyFont="1" applyFill="1" applyAlignment="1">
      <alignment horizontal="right"/>
    </xf>
    <xf numFmtId="0" fontId="4" fillId="2" borderId="1" xfId="1" applyFont="1" applyFill="1" applyBorder="1" applyAlignment="1">
      <alignment horizontal="right" vertical="top"/>
    </xf>
    <xf numFmtId="0" fontId="4" fillId="2" borderId="2" xfId="1" applyFont="1" applyFill="1" applyBorder="1" applyAlignment="1">
      <alignment horizontal="right" vertical="top"/>
    </xf>
    <xf numFmtId="0" fontId="4" fillId="2" borderId="3" xfId="1" applyFont="1" applyFill="1" applyBorder="1" applyAlignment="1">
      <alignment horizontal="right" vertical="top"/>
    </xf>
    <xf numFmtId="0" fontId="7" fillId="3" borderId="1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7" fillId="3" borderId="3" xfId="1" applyFont="1" applyFill="1" applyBorder="1" applyAlignment="1">
      <alignment horizontal="center" vertical="top"/>
    </xf>
    <xf numFmtId="0" fontId="5" fillId="2" borderId="9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10" xfId="1" applyFont="1" applyFill="1" applyBorder="1" applyAlignment="1">
      <alignment horizontal="left"/>
    </xf>
    <xf numFmtId="0" fontId="13" fillId="2" borderId="9" xfId="1" applyFont="1" applyFill="1" applyBorder="1" applyAlignment="1">
      <alignment wrapText="1"/>
    </xf>
    <xf numFmtId="0" fontId="13" fillId="2" borderId="0" xfId="1" applyFont="1" applyFill="1" applyAlignment="1">
      <alignment wrapText="1"/>
    </xf>
    <xf numFmtId="0" fontId="13" fillId="2" borderId="10" xfId="1" applyFont="1" applyFill="1" applyBorder="1" applyAlignment="1">
      <alignment wrapText="1"/>
    </xf>
  </cellXfs>
  <cellStyles count="3">
    <cellStyle name="Normal" xfId="0" builtinId="0"/>
    <cellStyle name="Normal 16" xfId="1"/>
    <cellStyle name="Normal 4" xfId="2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57150</xdr:rowOff>
    </xdr:from>
    <xdr:to>
      <xdr:col>0</xdr:col>
      <xdr:colOff>800100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CE3D4-1608-4955-B0C0-98344974B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7150"/>
          <a:ext cx="7905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tabSelected="1" zoomScale="85" zoomScaleNormal="85" zoomScaleSheetLayoutView="70" workbookViewId="0">
      <selection activeCell="I15" sqref="I15"/>
    </sheetView>
  </sheetViews>
  <sheetFormatPr defaultColWidth="0" defaultRowHeight="15.75" customHeight="1" zeroHeight="1"/>
  <cols>
    <col min="1" max="1" width="19.875" style="21" customWidth="1"/>
    <col min="2" max="13" width="10.25" style="21" customWidth="1"/>
    <col min="14" max="14" width="10.875" style="21" customWidth="1"/>
    <col min="15" max="255" width="0" style="3" hidden="1"/>
    <col min="256" max="256" width="19.875" style="3" customWidth="1"/>
    <col min="257" max="268" width="10.25" style="3" customWidth="1"/>
    <col min="269" max="269" width="10.875" style="3" customWidth="1"/>
    <col min="270" max="270" width="9.125" style="3" customWidth="1"/>
    <col min="271" max="511" width="0" style="3" hidden="1"/>
    <col min="512" max="512" width="19.875" style="3" customWidth="1"/>
    <col min="513" max="524" width="10.25" style="3" customWidth="1"/>
    <col min="525" max="525" width="10.875" style="3" customWidth="1"/>
    <col min="526" max="526" width="9.125" style="3" customWidth="1"/>
    <col min="527" max="767" width="0" style="3" hidden="1"/>
    <col min="768" max="768" width="19.875" style="3" customWidth="1"/>
    <col min="769" max="780" width="10.25" style="3" customWidth="1"/>
    <col min="781" max="781" width="10.875" style="3" customWidth="1"/>
    <col min="782" max="782" width="9.125" style="3" customWidth="1"/>
    <col min="783" max="1023" width="0" style="3" hidden="1"/>
    <col min="1024" max="1024" width="19.875" style="3" customWidth="1"/>
    <col min="1025" max="1036" width="10.25" style="3" customWidth="1"/>
    <col min="1037" max="1037" width="10.875" style="3" customWidth="1"/>
    <col min="1038" max="1038" width="9.125" style="3" customWidth="1"/>
    <col min="1039" max="1279" width="0" style="3" hidden="1"/>
    <col min="1280" max="1280" width="19.875" style="3" customWidth="1"/>
    <col min="1281" max="1292" width="10.25" style="3" customWidth="1"/>
    <col min="1293" max="1293" width="10.875" style="3" customWidth="1"/>
    <col min="1294" max="1294" width="9.125" style="3" customWidth="1"/>
    <col min="1295" max="1535" width="0" style="3" hidden="1"/>
    <col min="1536" max="1536" width="19.875" style="3" customWidth="1"/>
    <col min="1537" max="1548" width="10.25" style="3" customWidth="1"/>
    <col min="1549" max="1549" width="10.875" style="3" customWidth="1"/>
    <col min="1550" max="1550" width="9.125" style="3" customWidth="1"/>
    <col min="1551" max="1791" width="0" style="3" hidden="1"/>
    <col min="1792" max="1792" width="19.875" style="3" customWidth="1"/>
    <col min="1793" max="1804" width="10.25" style="3" customWidth="1"/>
    <col min="1805" max="1805" width="10.875" style="3" customWidth="1"/>
    <col min="1806" max="1806" width="9.125" style="3" customWidth="1"/>
    <col min="1807" max="2047" width="0" style="3" hidden="1"/>
    <col min="2048" max="2048" width="19.875" style="3" customWidth="1"/>
    <col min="2049" max="2060" width="10.25" style="3" customWidth="1"/>
    <col min="2061" max="2061" width="10.875" style="3" customWidth="1"/>
    <col min="2062" max="2062" width="9.125" style="3" customWidth="1"/>
    <col min="2063" max="2303" width="0" style="3" hidden="1"/>
    <col min="2304" max="2304" width="19.875" style="3" customWidth="1"/>
    <col min="2305" max="2316" width="10.25" style="3" customWidth="1"/>
    <col min="2317" max="2317" width="10.875" style="3" customWidth="1"/>
    <col min="2318" max="2318" width="9.125" style="3" customWidth="1"/>
    <col min="2319" max="2559" width="0" style="3" hidden="1"/>
    <col min="2560" max="2560" width="19.875" style="3" customWidth="1"/>
    <col min="2561" max="2572" width="10.25" style="3" customWidth="1"/>
    <col min="2573" max="2573" width="10.875" style="3" customWidth="1"/>
    <col min="2574" max="2574" width="9.125" style="3" customWidth="1"/>
    <col min="2575" max="2815" width="0" style="3" hidden="1"/>
    <col min="2816" max="2816" width="19.875" style="3" customWidth="1"/>
    <col min="2817" max="2828" width="10.25" style="3" customWidth="1"/>
    <col min="2829" max="2829" width="10.875" style="3" customWidth="1"/>
    <col min="2830" max="2830" width="9.125" style="3" customWidth="1"/>
    <col min="2831" max="3071" width="0" style="3" hidden="1"/>
    <col min="3072" max="3072" width="19.875" style="3" customWidth="1"/>
    <col min="3073" max="3084" width="10.25" style="3" customWidth="1"/>
    <col min="3085" max="3085" width="10.875" style="3" customWidth="1"/>
    <col min="3086" max="3086" width="9.125" style="3" customWidth="1"/>
    <col min="3087" max="3327" width="0" style="3" hidden="1"/>
    <col min="3328" max="3328" width="19.875" style="3" customWidth="1"/>
    <col min="3329" max="3340" width="10.25" style="3" customWidth="1"/>
    <col min="3341" max="3341" width="10.875" style="3" customWidth="1"/>
    <col min="3342" max="3342" width="9.125" style="3" customWidth="1"/>
    <col min="3343" max="3583" width="0" style="3" hidden="1"/>
    <col min="3584" max="3584" width="19.875" style="3" customWidth="1"/>
    <col min="3585" max="3596" width="10.25" style="3" customWidth="1"/>
    <col min="3597" max="3597" width="10.875" style="3" customWidth="1"/>
    <col min="3598" max="3598" width="9.125" style="3" customWidth="1"/>
    <col min="3599" max="3839" width="0" style="3" hidden="1"/>
    <col min="3840" max="3840" width="19.875" style="3" customWidth="1"/>
    <col min="3841" max="3852" width="10.25" style="3" customWidth="1"/>
    <col min="3853" max="3853" width="10.875" style="3" customWidth="1"/>
    <col min="3854" max="3854" width="9.125" style="3" customWidth="1"/>
    <col min="3855" max="4095" width="0" style="3" hidden="1"/>
    <col min="4096" max="4096" width="19.875" style="3" customWidth="1"/>
    <col min="4097" max="4108" width="10.25" style="3" customWidth="1"/>
    <col min="4109" max="4109" width="10.875" style="3" customWidth="1"/>
    <col min="4110" max="4110" width="9.125" style="3" customWidth="1"/>
    <col min="4111" max="4351" width="0" style="3" hidden="1"/>
    <col min="4352" max="4352" width="19.875" style="3" customWidth="1"/>
    <col min="4353" max="4364" width="10.25" style="3" customWidth="1"/>
    <col min="4365" max="4365" width="10.875" style="3" customWidth="1"/>
    <col min="4366" max="4366" width="9.125" style="3" customWidth="1"/>
    <col min="4367" max="4607" width="0" style="3" hidden="1"/>
    <col min="4608" max="4608" width="19.875" style="3" customWidth="1"/>
    <col min="4609" max="4620" width="10.25" style="3" customWidth="1"/>
    <col min="4621" max="4621" width="10.875" style="3" customWidth="1"/>
    <col min="4622" max="4622" width="9.125" style="3" customWidth="1"/>
    <col min="4623" max="4863" width="0" style="3" hidden="1"/>
    <col min="4864" max="4864" width="19.875" style="3" customWidth="1"/>
    <col min="4865" max="4876" width="10.25" style="3" customWidth="1"/>
    <col min="4877" max="4877" width="10.875" style="3" customWidth="1"/>
    <col min="4878" max="4878" width="9.125" style="3" customWidth="1"/>
    <col min="4879" max="5119" width="0" style="3" hidden="1"/>
    <col min="5120" max="5120" width="19.875" style="3" customWidth="1"/>
    <col min="5121" max="5132" width="10.25" style="3" customWidth="1"/>
    <col min="5133" max="5133" width="10.875" style="3" customWidth="1"/>
    <col min="5134" max="5134" width="9.125" style="3" customWidth="1"/>
    <col min="5135" max="5375" width="0" style="3" hidden="1"/>
    <col min="5376" max="5376" width="19.875" style="3" customWidth="1"/>
    <col min="5377" max="5388" width="10.25" style="3" customWidth="1"/>
    <col min="5389" max="5389" width="10.875" style="3" customWidth="1"/>
    <col min="5390" max="5390" width="9.125" style="3" customWidth="1"/>
    <col min="5391" max="5631" width="0" style="3" hidden="1"/>
    <col min="5632" max="5632" width="19.875" style="3" customWidth="1"/>
    <col min="5633" max="5644" width="10.25" style="3" customWidth="1"/>
    <col min="5645" max="5645" width="10.875" style="3" customWidth="1"/>
    <col min="5646" max="5646" width="9.125" style="3" customWidth="1"/>
    <col min="5647" max="5887" width="0" style="3" hidden="1"/>
    <col min="5888" max="5888" width="19.875" style="3" customWidth="1"/>
    <col min="5889" max="5900" width="10.25" style="3" customWidth="1"/>
    <col min="5901" max="5901" width="10.875" style="3" customWidth="1"/>
    <col min="5902" max="5902" width="9.125" style="3" customWidth="1"/>
    <col min="5903" max="6143" width="0" style="3" hidden="1"/>
    <col min="6144" max="6144" width="19.875" style="3" customWidth="1"/>
    <col min="6145" max="6156" width="10.25" style="3" customWidth="1"/>
    <col min="6157" max="6157" width="10.875" style="3" customWidth="1"/>
    <col min="6158" max="6158" width="9.125" style="3" customWidth="1"/>
    <col min="6159" max="6399" width="0" style="3" hidden="1"/>
    <col min="6400" max="6400" width="19.875" style="3" customWidth="1"/>
    <col min="6401" max="6412" width="10.25" style="3" customWidth="1"/>
    <col min="6413" max="6413" width="10.875" style="3" customWidth="1"/>
    <col min="6414" max="6414" width="9.125" style="3" customWidth="1"/>
    <col min="6415" max="6655" width="0" style="3" hidden="1"/>
    <col min="6656" max="6656" width="19.875" style="3" customWidth="1"/>
    <col min="6657" max="6668" width="10.25" style="3" customWidth="1"/>
    <col min="6669" max="6669" width="10.875" style="3" customWidth="1"/>
    <col min="6670" max="6670" width="9.125" style="3" customWidth="1"/>
    <col min="6671" max="6911" width="0" style="3" hidden="1"/>
    <col min="6912" max="6912" width="19.875" style="3" customWidth="1"/>
    <col min="6913" max="6924" width="10.25" style="3" customWidth="1"/>
    <col min="6925" max="6925" width="10.875" style="3" customWidth="1"/>
    <col min="6926" max="6926" width="9.125" style="3" customWidth="1"/>
    <col min="6927" max="7167" width="0" style="3" hidden="1"/>
    <col min="7168" max="7168" width="19.875" style="3" customWidth="1"/>
    <col min="7169" max="7180" width="10.25" style="3" customWidth="1"/>
    <col min="7181" max="7181" width="10.875" style="3" customWidth="1"/>
    <col min="7182" max="7182" width="9.125" style="3" customWidth="1"/>
    <col min="7183" max="7423" width="0" style="3" hidden="1"/>
    <col min="7424" max="7424" width="19.875" style="3" customWidth="1"/>
    <col min="7425" max="7436" width="10.25" style="3" customWidth="1"/>
    <col min="7437" max="7437" width="10.875" style="3" customWidth="1"/>
    <col min="7438" max="7438" width="9.125" style="3" customWidth="1"/>
    <col min="7439" max="7679" width="0" style="3" hidden="1"/>
    <col min="7680" max="7680" width="19.875" style="3" customWidth="1"/>
    <col min="7681" max="7692" width="10.25" style="3" customWidth="1"/>
    <col min="7693" max="7693" width="10.875" style="3" customWidth="1"/>
    <col min="7694" max="7694" width="9.125" style="3" customWidth="1"/>
    <col min="7695" max="7935" width="0" style="3" hidden="1"/>
    <col min="7936" max="7936" width="19.875" style="3" customWidth="1"/>
    <col min="7937" max="7948" width="10.25" style="3" customWidth="1"/>
    <col min="7949" max="7949" width="10.875" style="3" customWidth="1"/>
    <col min="7950" max="7950" width="9.125" style="3" customWidth="1"/>
    <col min="7951" max="8191" width="0" style="3" hidden="1"/>
    <col min="8192" max="8192" width="19.875" style="3" customWidth="1"/>
    <col min="8193" max="8204" width="10.25" style="3" customWidth="1"/>
    <col min="8205" max="8205" width="10.875" style="3" customWidth="1"/>
    <col min="8206" max="8206" width="9.125" style="3" customWidth="1"/>
    <col min="8207" max="8447" width="0" style="3" hidden="1"/>
    <col min="8448" max="8448" width="19.875" style="3" customWidth="1"/>
    <col min="8449" max="8460" width="10.25" style="3" customWidth="1"/>
    <col min="8461" max="8461" width="10.875" style="3" customWidth="1"/>
    <col min="8462" max="8462" width="9.125" style="3" customWidth="1"/>
    <col min="8463" max="8703" width="0" style="3" hidden="1"/>
    <col min="8704" max="8704" width="19.875" style="3" customWidth="1"/>
    <col min="8705" max="8716" width="10.25" style="3" customWidth="1"/>
    <col min="8717" max="8717" width="10.875" style="3" customWidth="1"/>
    <col min="8718" max="8718" width="9.125" style="3" customWidth="1"/>
    <col min="8719" max="8959" width="0" style="3" hidden="1"/>
    <col min="8960" max="8960" width="19.875" style="3" customWidth="1"/>
    <col min="8961" max="8972" width="10.25" style="3" customWidth="1"/>
    <col min="8973" max="8973" width="10.875" style="3" customWidth="1"/>
    <col min="8974" max="8974" width="9.125" style="3" customWidth="1"/>
    <col min="8975" max="9215" width="0" style="3" hidden="1"/>
    <col min="9216" max="9216" width="19.875" style="3" customWidth="1"/>
    <col min="9217" max="9228" width="10.25" style="3" customWidth="1"/>
    <col min="9229" max="9229" width="10.875" style="3" customWidth="1"/>
    <col min="9230" max="9230" width="9.125" style="3" customWidth="1"/>
    <col min="9231" max="9471" width="0" style="3" hidden="1"/>
    <col min="9472" max="9472" width="19.875" style="3" customWidth="1"/>
    <col min="9473" max="9484" width="10.25" style="3" customWidth="1"/>
    <col min="9485" max="9485" width="10.875" style="3" customWidth="1"/>
    <col min="9486" max="9486" width="9.125" style="3" customWidth="1"/>
    <col min="9487" max="9727" width="0" style="3" hidden="1"/>
    <col min="9728" max="9728" width="19.875" style="3" customWidth="1"/>
    <col min="9729" max="9740" width="10.25" style="3" customWidth="1"/>
    <col min="9741" max="9741" width="10.875" style="3" customWidth="1"/>
    <col min="9742" max="9742" width="9.125" style="3" customWidth="1"/>
    <col min="9743" max="9983" width="0" style="3" hidden="1"/>
    <col min="9984" max="9984" width="19.875" style="3" customWidth="1"/>
    <col min="9985" max="9996" width="10.25" style="3" customWidth="1"/>
    <col min="9997" max="9997" width="10.875" style="3" customWidth="1"/>
    <col min="9998" max="9998" width="9.125" style="3" customWidth="1"/>
    <col min="9999" max="10239" width="0" style="3" hidden="1"/>
    <col min="10240" max="10240" width="19.875" style="3" customWidth="1"/>
    <col min="10241" max="10252" width="10.25" style="3" customWidth="1"/>
    <col min="10253" max="10253" width="10.875" style="3" customWidth="1"/>
    <col min="10254" max="10254" width="9.125" style="3" customWidth="1"/>
    <col min="10255" max="10495" width="0" style="3" hidden="1"/>
    <col min="10496" max="10496" width="19.875" style="3" customWidth="1"/>
    <col min="10497" max="10508" width="10.25" style="3" customWidth="1"/>
    <col min="10509" max="10509" width="10.875" style="3" customWidth="1"/>
    <col min="10510" max="10510" width="9.125" style="3" customWidth="1"/>
    <col min="10511" max="10751" width="0" style="3" hidden="1"/>
    <col min="10752" max="10752" width="19.875" style="3" customWidth="1"/>
    <col min="10753" max="10764" width="10.25" style="3" customWidth="1"/>
    <col min="10765" max="10765" width="10.875" style="3" customWidth="1"/>
    <col min="10766" max="10766" width="9.125" style="3" customWidth="1"/>
    <col min="10767" max="11007" width="0" style="3" hidden="1"/>
    <col min="11008" max="11008" width="19.875" style="3" customWidth="1"/>
    <col min="11009" max="11020" width="10.25" style="3" customWidth="1"/>
    <col min="11021" max="11021" width="10.875" style="3" customWidth="1"/>
    <col min="11022" max="11022" width="9.125" style="3" customWidth="1"/>
    <col min="11023" max="11263" width="0" style="3" hidden="1"/>
    <col min="11264" max="11264" width="19.875" style="3" customWidth="1"/>
    <col min="11265" max="11276" width="10.25" style="3" customWidth="1"/>
    <col min="11277" max="11277" width="10.875" style="3" customWidth="1"/>
    <col min="11278" max="11278" width="9.125" style="3" customWidth="1"/>
    <col min="11279" max="11519" width="0" style="3" hidden="1"/>
    <col min="11520" max="11520" width="19.875" style="3" customWidth="1"/>
    <col min="11521" max="11532" width="10.25" style="3" customWidth="1"/>
    <col min="11533" max="11533" width="10.875" style="3" customWidth="1"/>
    <col min="11534" max="11534" width="9.125" style="3" customWidth="1"/>
    <col min="11535" max="11775" width="0" style="3" hidden="1"/>
    <col min="11776" max="11776" width="19.875" style="3" customWidth="1"/>
    <col min="11777" max="11788" width="10.25" style="3" customWidth="1"/>
    <col min="11789" max="11789" width="10.875" style="3" customWidth="1"/>
    <col min="11790" max="11790" width="9.125" style="3" customWidth="1"/>
    <col min="11791" max="12031" width="0" style="3" hidden="1"/>
    <col min="12032" max="12032" width="19.875" style="3" customWidth="1"/>
    <col min="12033" max="12044" width="10.25" style="3" customWidth="1"/>
    <col min="12045" max="12045" width="10.875" style="3" customWidth="1"/>
    <col min="12046" max="12046" width="9.125" style="3" customWidth="1"/>
    <col min="12047" max="12287" width="0" style="3" hidden="1"/>
    <col min="12288" max="12288" width="19.875" style="3" customWidth="1"/>
    <col min="12289" max="12300" width="10.25" style="3" customWidth="1"/>
    <col min="12301" max="12301" width="10.875" style="3" customWidth="1"/>
    <col min="12302" max="12302" width="9.125" style="3" customWidth="1"/>
    <col min="12303" max="12543" width="0" style="3" hidden="1"/>
    <col min="12544" max="12544" width="19.875" style="3" customWidth="1"/>
    <col min="12545" max="12556" width="10.25" style="3" customWidth="1"/>
    <col min="12557" max="12557" width="10.875" style="3" customWidth="1"/>
    <col min="12558" max="12558" width="9.125" style="3" customWidth="1"/>
    <col min="12559" max="12799" width="0" style="3" hidden="1"/>
    <col min="12800" max="12800" width="19.875" style="3" customWidth="1"/>
    <col min="12801" max="12812" width="10.25" style="3" customWidth="1"/>
    <col min="12813" max="12813" width="10.875" style="3" customWidth="1"/>
    <col min="12814" max="12814" width="9.125" style="3" customWidth="1"/>
    <col min="12815" max="13055" width="0" style="3" hidden="1"/>
    <col min="13056" max="13056" width="19.875" style="3" customWidth="1"/>
    <col min="13057" max="13068" width="10.25" style="3" customWidth="1"/>
    <col min="13069" max="13069" width="10.875" style="3" customWidth="1"/>
    <col min="13070" max="13070" width="9.125" style="3" customWidth="1"/>
    <col min="13071" max="13311" width="0" style="3" hidden="1"/>
    <col min="13312" max="13312" width="19.875" style="3" customWidth="1"/>
    <col min="13313" max="13324" width="10.25" style="3" customWidth="1"/>
    <col min="13325" max="13325" width="10.875" style="3" customWidth="1"/>
    <col min="13326" max="13326" width="9.125" style="3" customWidth="1"/>
    <col min="13327" max="13567" width="0" style="3" hidden="1"/>
    <col min="13568" max="13568" width="19.875" style="3" customWidth="1"/>
    <col min="13569" max="13580" width="10.25" style="3" customWidth="1"/>
    <col min="13581" max="13581" width="10.875" style="3" customWidth="1"/>
    <col min="13582" max="13582" width="9.125" style="3" customWidth="1"/>
    <col min="13583" max="13823" width="0" style="3" hidden="1"/>
    <col min="13824" max="13824" width="19.875" style="3" customWidth="1"/>
    <col min="13825" max="13836" width="10.25" style="3" customWidth="1"/>
    <col min="13837" max="13837" width="10.875" style="3" customWidth="1"/>
    <col min="13838" max="13838" width="9.125" style="3" customWidth="1"/>
    <col min="13839" max="14079" width="0" style="3" hidden="1"/>
    <col min="14080" max="14080" width="19.875" style="3" customWidth="1"/>
    <col min="14081" max="14092" width="10.25" style="3" customWidth="1"/>
    <col min="14093" max="14093" width="10.875" style="3" customWidth="1"/>
    <col min="14094" max="14094" width="9.125" style="3" customWidth="1"/>
    <col min="14095" max="14335" width="0" style="3" hidden="1"/>
    <col min="14336" max="14336" width="19.875" style="3" customWidth="1"/>
    <col min="14337" max="14348" width="10.25" style="3" customWidth="1"/>
    <col min="14349" max="14349" width="10.875" style="3" customWidth="1"/>
    <col min="14350" max="14350" width="9.125" style="3" customWidth="1"/>
    <col min="14351" max="14591" width="0" style="3" hidden="1"/>
    <col min="14592" max="14592" width="19.875" style="3" customWidth="1"/>
    <col min="14593" max="14604" width="10.25" style="3" customWidth="1"/>
    <col min="14605" max="14605" width="10.875" style="3" customWidth="1"/>
    <col min="14606" max="14606" width="9.125" style="3" customWidth="1"/>
    <col min="14607" max="14847" width="0" style="3" hidden="1"/>
    <col min="14848" max="14848" width="19.875" style="3" customWidth="1"/>
    <col min="14849" max="14860" width="10.25" style="3" customWidth="1"/>
    <col min="14861" max="14861" width="10.875" style="3" customWidth="1"/>
    <col min="14862" max="14862" width="9.125" style="3" customWidth="1"/>
    <col min="14863" max="15103" width="0" style="3" hidden="1"/>
    <col min="15104" max="15104" width="19.875" style="3" customWidth="1"/>
    <col min="15105" max="15116" width="10.25" style="3" customWidth="1"/>
    <col min="15117" max="15117" width="10.875" style="3" customWidth="1"/>
    <col min="15118" max="15118" width="9.125" style="3" customWidth="1"/>
    <col min="15119" max="15359" width="0" style="3" hidden="1"/>
    <col min="15360" max="15360" width="19.875" style="3" customWidth="1"/>
    <col min="15361" max="15372" width="10.25" style="3" customWidth="1"/>
    <col min="15373" max="15373" width="10.875" style="3" customWidth="1"/>
    <col min="15374" max="15374" width="9.125" style="3" customWidth="1"/>
    <col min="15375" max="15615" width="0" style="3" hidden="1"/>
    <col min="15616" max="15616" width="19.875" style="3" customWidth="1"/>
    <col min="15617" max="15628" width="10.25" style="3" customWidth="1"/>
    <col min="15629" max="15629" width="10.875" style="3" customWidth="1"/>
    <col min="15630" max="15630" width="9.125" style="3" customWidth="1"/>
    <col min="15631" max="15871" width="0" style="3" hidden="1"/>
    <col min="15872" max="15872" width="19.875" style="3" customWidth="1"/>
    <col min="15873" max="15884" width="10.25" style="3" customWidth="1"/>
    <col min="15885" max="15885" width="10.875" style="3" customWidth="1"/>
    <col min="15886" max="15886" width="9.125" style="3" customWidth="1"/>
    <col min="15887" max="16127" width="0" style="3" hidden="1"/>
    <col min="16128" max="16128" width="19.875" style="3" customWidth="1"/>
    <col min="16129" max="16140" width="10.25" style="3" customWidth="1"/>
    <col min="16141" max="16141" width="10.875" style="3" customWidth="1"/>
    <col min="16142" max="16142" width="9.125" style="3" customWidth="1"/>
    <col min="16143" max="16384" width="0" style="3" hidden="1"/>
  </cols>
  <sheetData>
    <row r="1" spans="1:16" ht="18.75">
      <c r="A1" s="1"/>
      <c r="B1" s="2" t="s">
        <v>0</v>
      </c>
      <c r="C1" s="1"/>
      <c r="D1" s="2"/>
      <c r="E1" s="2"/>
      <c r="F1" s="2"/>
      <c r="G1" s="2"/>
      <c r="H1" s="2"/>
      <c r="I1" s="1"/>
      <c r="J1" s="1"/>
      <c r="K1" s="1"/>
      <c r="L1" s="1"/>
      <c r="M1" s="34" t="s">
        <v>1</v>
      </c>
      <c r="N1" s="34"/>
    </row>
    <row r="2" spans="1:16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8.75">
      <c r="A5" s="4" t="s">
        <v>35</v>
      </c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6" ht="18.75">
      <c r="A6" s="35" t="s">
        <v>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7"/>
    </row>
    <row r="7" spans="1:16" ht="18.75">
      <c r="A7" s="38" t="s">
        <v>37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</row>
    <row r="8" spans="1:16" ht="18.75">
      <c r="A8" s="6" t="s">
        <v>3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6" t="s">
        <v>12</v>
      </c>
      <c r="K8" s="6" t="s">
        <v>13</v>
      </c>
      <c r="L8" s="6" t="s">
        <v>14</v>
      </c>
      <c r="M8" s="6" t="s">
        <v>15</v>
      </c>
      <c r="N8" s="6" t="s">
        <v>16</v>
      </c>
    </row>
    <row r="9" spans="1:16" ht="18.75">
      <c r="A9" s="7" t="s">
        <v>17</v>
      </c>
      <c r="B9" s="8">
        <v>2544.5314480270013</v>
      </c>
      <c r="C9" s="8">
        <v>2681.803172054998</v>
      </c>
      <c r="D9" s="9">
        <v>2554.1621320849995</v>
      </c>
      <c r="E9" s="9">
        <v>2809.6396698450012</v>
      </c>
      <c r="F9" s="9">
        <v>2833.093851569</v>
      </c>
      <c r="G9" s="8">
        <v>2794.3449370700005</v>
      </c>
      <c r="H9" s="8">
        <v>2870.9824949069985</v>
      </c>
      <c r="I9" s="8">
        <v>2842.6703864749988</v>
      </c>
      <c r="J9" s="8">
        <v>3067.3621575270008</v>
      </c>
      <c r="K9" s="8">
        <v>3011.7174388659992</v>
      </c>
      <c r="L9" s="8">
        <v>2800.9789004089998</v>
      </c>
      <c r="M9" s="8">
        <v>2358.2223583270006</v>
      </c>
      <c r="N9" s="10">
        <f>SUM(B9:M9)</f>
        <v>33169.508947161994</v>
      </c>
      <c r="O9" s="11"/>
      <c r="P9" s="12"/>
    </row>
    <row r="10" spans="1:16" ht="18.75">
      <c r="A10" s="7" t="s">
        <v>18</v>
      </c>
      <c r="B10" s="8">
        <v>935.33247200000005</v>
      </c>
      <c r="C10" s="8">
        <v>944.77746500000012</v>
      </c>
      <c r="D10" s="9">
        <v>984.00722100000007</v>
      </c>
      <c r="E10" s="9">
        <v>961.77160000000015</v>
      </c>
      <c r="F10" s="9">
        <v>1065.4450830000001</v>
      </c>
      <c r="G10" s="8">
        <v>1009.5897070000002</v>
      </c>
      <c r="H10" s="8">
        <v>924.15450399999997</v>
      </c>
      <c r="I10" s="8">
        <v>917.52667000000008</v>
      </c>
      <c r="J10" s="8">
        <v>986.38160300000015</v>
      </c>
      <c r="K10" s="8">
        <v>1057.334599</v>
      </c>
      <c r="L10" s="8">
        <v>991.29340999999988</v>
      </c>
      <c r="M10" s="8">
        <v>948.14251200000012</v>
      </c>
      <c r="N10" s="10">
        <f t="shared" ref="N10:N20" si="0">SUM(B10:M10)</f>
        <v>11725.756846</v>
      </c>
    </row>
    <row r="11" spans="1:16" ht="18.75">
      <c r="A11" s="7" t="s">
        <v>19</v>
      </c>
      <c r="B11" s="8">
        <v>3449.4599525018207</v>
      </c>
      <c r="C11" s="8">
        <v>3782.1375556859866</v>
      </c>
      <c r="D11" s="9">
        <v>3521.8619976432506</v>
      </c>
      <c r="E11" s="9">
        <v>3492.7310614831704</v>
      </c>
      <c r="F11" s="9">
        <v>3544.3383484854785</v>
      </c>
      <c r="G11" s="8">
        <v>3398.9627810156321</v>
      </c>
      <c r="H11" s="8">
        <v>3665.2349906792169</v>
      </c>
      <c r="I11" s="8">
        <v>3517.0566004612592</v>
      </c>
      <c r="J11" s="8">
        <v>3555.3439057626574</v>
      </c>
      <c r="K11" s="8">
        <v>3510.6001598216976</v>
      </c>
      <c r="L11" s="8">
        <v>3368.953666443751</v>
      </c>
      <c r="M11" s="8">
        <v>3779.5058006952186</v>
      </c>
      <c r="N11" s="10">
        <f t="shared" si="0"/>
        <v>42586.186820679141</v>
      </c>
    </row>
    <row r="12" spans="1:16" ht="18.75">
      <c r="A12" s="7" t="s">
        <v>20</v>
      </c>
      <c r="B12" s="8">
        <v>771.69705967804794</v>
      </c>
      <c r="C12" s="8">
        <v>775.95474721253959</v>
      </c>
      <c r="D12" s="9">
        <v>730.26184183833402</v>
      </c>
      <c r="E12" s="9">
        <v>709.68414015830865</v>
      </c>
      <c r="F12" s="9">
        <v>710.40388254779953</v>
      </c>
      <c r="G12" s="8">
        <v>720.01022798265774</v>
      </c>
      <c r="H12" s="8">
        <v>772.64357311401784</v>
      </c>
      <c r="I12" s="8">
        <v>788.17803420106122</v>
      </c>
      <c r="J12" s="8">
        <v>784.01117693968069</v>
      </c>
      <c r="K12" s="8">
        <v>827.49497569405116</v>
      </c>
      <c r="L12" s="8">
        <v>764.21983458596162</v>
      </c>
      <c r="M12" s="8">
        <v>806.83945175998383</v>
      </c>
      <c r="N12" s="10">
        <f t="shared" si="0"/>
        <v>9161.3989457124462</v>
      </c>
    </row>
    <row r="13" spans="1:16" ht="18.75">
      <c r="A13" s="7" t="s">
        <v>21</v>
      </c>
      <c r="B13" s="8">
        <v>25.756306334630352</v>
      </c>
      <c r="C13" s="8">
        <v>38.677231869260694</v>
      </c>
      <c r="D13" s="9">
        <v>40.931194194552532</v>
      </c>
      <c r="E13" s="9">
        <v>36.243720451361881</v>
      </c>
      <c r="F13" s="9">
        <v>34.261029089494158</v>
      </c>
      <c r="G13" s="8">
        <v>36.561357719844359</v>
      </c>
      <c r="H13" s="8">
        <v>43.192487564202331</v>
      </c>
      <c r="I13" s="8">
        <v>42.911408560311294</v>
      </c>
      <c r="J13" s="8">
        <v>41.561117859922192</v>
      </c>
      <c r="K13" s="8">
        <v>37.62326263035019</v>
      </c>
      <c r="L13" s="8">
        <v>37.901652333073926</v>
      </c>
      <c r="M13" s="8">
        <v>44.02247380544749</v>
      </c>
      <c r="N13" s="10">
        <f t="shared" si="0"/>
        <v>459.64324241245146</v>
      </c>
      <c r="O13" s="11"/>
      <c r="P13" s="12"/>
    </row>
    <row r="14" spans="1:16" ht="18.75">
      <c r="A14" s="7" t="s">
        <v>22</v>
      </c>
      <c r="B14" s="8">
        <v>8261.0855926923541</v>
      </c>
      <c r="C14" s="8">
        <v>8592.0686754712769</v>
      </c>
      <c r="D14" s="9">
        <v>8105.4119363724021</v>
      </c>
      <c r="E14" s="9">
        <v>7356.2560821637771</v>
      </c>
      <c r="F14" s="9">
        <v>6576.5960878191563</v>
      </c>
      <c r="G14" s="8">
        <v>6786.1215832392709</v>
      </c>
      <c r="H14" s="8">
        <v>7620.3243252633465</v>
      </c>
      <c r="I14" s="8">
        <v>8556.5030225933715</v>
      </c>
      <c r="J14" s="8">
        <v>8469.86759958113</v>
      </c>
      <c r="K14" s="8">
        <v>7992.677982185267</v>
      </c>
      <c r="L14" s="8">
        <v>7664.6719649638972</v>
      </c>
      <c r="M14" s="8">
        <v>8725.9895636436304</v>
      </c>
      <c r="N14" s="10">
        <f t="shared" si="0"/>
        <v>94707.574415988885</v>
      </c>
    </row>
    <row r="15" spans="1:16" ht="18.75">
      <c r="A15" s="7" t="s">
        <v>23</v>
      </c>
      <c r="B15" s="8">
        <v>85.543116544368601</v>
      </c>
      <c r="C15" s="8">
        <v>81.209851220136542</v>
      </c>
      <c r="D15" s="9">
        <v>86.37324594709898</v>
      </c>
      <c r="E15" s="9">
        <v>85.975962610921513</v>
      </c>
      <c r="F15" s="9">
        <v>80.354191578498302</v>
      </c>
      <c r="G15" s="8">
        <v>89.689040870307181</v>
      </c>
      <c r="H15" s="8">
        <v>75.47813766211604</v>
      </c>
      <c r="I15" s="8">
        <v>87.827012414675778</v>
      </c>
      <c r="J15" s="8">
        <v>76.315649223549499</v>
      </c>
      <c r="K15" s="8">
        <v>83.120608361774771</v>
      </c>
      <c r="L15" s="8">
        <v>82.166786962457365</v>
      </c>
      <c r="M15" s="8">
        <v>95.277317218430056</v>
      </c>
      <c r="N15" s="10">
        <f t="shared" si="0"/>
        <v>1009.3309206143346</v>
      </c>
    </row>
    <row r="16" spans="1:16" ht="37.5">
      <c r="A16" s="22" t="s">
        <v>24</v>
      </c>
      <c r="B16" s="8">
        <v>398.45406376863377</v>
      </c>
      <c r="C16" s="8">
        <v>363.71597782066607</v>
      </c>
      <c r="D16" s="9">
        <v>392.75306342260319</v>
      </c>
      <c r="E16" s="9">
        <v>393.36280976846319</v>
      </c>
      <c r="F16" s="9">
        <v>372.50279359175755</v>
      </c>
      <c r="G16" s="8">
        <v>461.44714864878625</v>
      </c>
      <c r="H16" s="8">
        <v>414.80380914661583</v>
      </c>
      <c r="I16" s="8">
        <v>401.31948720658363</v>
      </c>
      <c r="J16" s="8">
        <v>450.88620063248834</v>
      </c>
      <c r="K16" s="8">
        <v>370.66359833602337</v>
      </c>
      <c r="L16" s="8">
        <v>443.67631839365373</v>
      </c>
      <c r="M16" s="8">
        <v>497.89886807678812</v>
      </c>
      <c r="N16" s="10">
        <f t="shared" si="0"/>
        <v>4961.4841388130635</v>
      </c>
    </row>
    <row r="17" spans="1:14" ht="18.75">
      <c r="A17" s="7" t="s">
        <v>25</v>
      </c>
      <c r="B17" s="8">
        <v>494.45225563988578</v>
      </c>
      <c r="C17" s="8">
        <v>504.20746405383755</v>
      </c>
      <c r="D17" s="9">
        <v>497.63463578449546</v>
      </c>
      <c r="E17" s="9">
        <v>488.75953405211368</v>
      </c>
      <c r="F17" s="9">
        <v>500.78572706241465</v>
      </c>
      <c r="G17" s="8">
        <v>525.69042615372587</v>
      </c>
      <c r="H17" s="8">
        <v>566.12205279731552</v>
      </c>
      <c r="I17" s="8">
        <v>544.83431410562548</v>
      </c>
      <c r="J17" s="8">
        <v>550.19175164260525</v>
      </c>
      <c r="K17" s="8">
        <v>547.52802673216991</v>
      </c>
      <c r="L17" s="8">
        <v>513.60037322125868</v>
      </c>
      <c r="M17" s="8">
        <v>643.06560427542547</v>
      </c>
      <c r="N17" s="10">
        <f t="shared" si="0"/>
        <v>6376.8721655208728</v>
      </c>
    </row>
    <row r="18" spans="1:14" ht="18.75">
      <c r="A18" s="7" t="s">
        <v>26</v>
      </c>
      <c r="B18" s="8">
        <v>862.2826060000001</v>
      </c>
      <c r="C18" s="8">
        <v>856.89360299999987</v>
      </c>
      <c r="D18" s="9">
        <v>698.88995599999998</v>
      </c>
      <c r="E18" s="9">
        <v>425.72638300000006</v>
      </c>
      <c r="F18" s="9">
        <v>368.72411499999998</v>
      </c>
      <c r="G18" s="8">
        <v>506.79977500000012</v>
      </c>
      <c r="H18" s="8">
        <v>603.81281199999989</v>
      </c>
      <c r="I18" s="8">
        <v>884.16695800000014</v>
      </c>
      <c r="J18" s="8">
        <v>873.34094699999923</v>
      </c>
      <c r="K18" s="8">
        <v>822.47151100000031</v>
      </c>
      <c r="L18" s="8">
        <v>908.51967499999989</v>
      </c>
      <c r="M18" s="8">
        <v>885.67143899999974</v>
      </c>
      <c r="N18" s="10">
        <f t="shared" si="0"/>
        <v>8697.2997799999976</v>
      </c>
    </row>
    <row r="19" spans="1:14" ht="18.75">
      <c r="A19" s="7" t="s">
        <v>27</v>
      </c>
      <c r="B19" s="8">
        <v>1561.594632</v>
      </c>
      <c r="C19" s="8">
        <v>1810.2352259999998</v>
      </c>
      <c r="D19" s="9">
        <v>1503.8256200000001</v>
      </c>
      <c r="E19" s="9">
        <v>1720.0860979999998</v>
      </c>
      <c r="F19" s="9">
        <v>2238.7946099999999</v>
      </c>
      <c r="G19" s="8">
        <v>1495.2166629999997</v>
      </c>
      <c r="H19" s="8">
        <v>1567.382977</v>
      </c>
      <c r="I19" s="8">
        <v>1329.8860199999999</v>
      </c>
      <c r="J19" s="8">
        <v>1774.4413330000002</v>
      </c>
      <c r="K19" s="8">
        <v>1390.559469</v>
      </c>
      <c r="L19" s="8">
        <v>943.42245300000002</v>
      </c>
      <c r="M19" s="8">
        <v>1065.3442769999999</v>
      </c>
      <c r="N19" s="10">
        <f t="shared" si="0"/>
        <v>18400.789378000001</v>
      </c>
    </row>
    <row r="20" spans="1:14" ht="18.75">
      <c r="A20" s="7" t="s">
        <v>28</v>
      </c>
      <c r="B20" s="8">
        <v>837.278518258129</v>
      </c>
      <c r="C20" s="8">
        <v>874.26679957393162</v>
      </c>
      <c r="D20" s="9">
        <v>925.84201628273581</v>
      </c>
      <c r="E20" s="9">
        <v>874.12061641728269</v>
      </c>
      <c r="F20" s="9">
        <v>817.63130994245648</v>
      </c>
      <c r="G20" s="8">
        <v>807.09282913896766</v>
      </c>
      <c r="H20" s="8">
        <v>827.39958134542201</v>
      </c>
      <c r="I20" s="8">
        <v>869.261653143118</v>
      </c>
      <c r="J20" s="8">
        <v>963.96377996708782</v>
      </c>
      <c r="K20" s="8">
        <v>953.08636206398808</v>
      </c>
      <c r="L20" s="8">
        <v>851.70948429176838</v>
      </c>
      <c r="M20" s="8">
        <v>753.92757096510286</v>
      </c>
      <c r="N20" s="10">
        <f t="shared" si="0"/>
        <v>10355.580521389991</v>
      </c>
    </row>
    <row r="21" spans="1:14" ht="18.75">
      <c r="A21" s="13" t="s">
        <v>16</v>
      </c>
      <c r="B21" s="10">
        <f>SUM(B9:B20)</f>
        <v>20227.468023444872</v>
      </c>
      <c r="C21" s="10">
        <f t="shared" ref="C21:N21" si="1">SUM(C9:C20)</f>
        <v>21305.947768962636</v>
      </c>
      <c r="D21" s="10">
        <f t="shared" si="1"/>
        <v>20041.954860570469</v>
      </c>
      <c r="E21" s="10">
        <f t="shared" si="1"/>
        <v>19354.3576779504</v>
      </c>
      <c r="F21" s="10">
        <f t="shared" si="1"/>
        <v>19142.931029686057</v>
      </c>
      <c r="G21" s="10">
        <f t="shared" ref="G21" si="2">SUM(G9:G20)</f>
        <v>18631.526476839193</v>
      </c>
      <c r="H21" s="10">
        <f t="shared" si="1"/>
        <v>19951.531745479253</v>
      </c>
      <c r="I21" s="10">
        <f t="shared" si="1"/>
        <v>20782.141567161008</v>
      </c>
      <c r="J21" s="10">
        <f t="shared" si="1"/>
        <v>21593.667222136126</v>
      </c>
      <c r="K21" s="10">
        <f t="shared" si="1"/>
        <v>20604.877993691323</v>
      </c>
      <c r="L21" s="10">
        <f t="shared" si="1"/>
        <v>19371.11451960482</v>
      </c>
      <c r="M21" s="10">
        <f t="shared" si="1"/>
        <v>20603.907236767031</v>
      </c>
      <c r="N21" s="10">
        <f t="shared" si="1"/>
        <v>241611.4261222932</v>
      </c>
    </row>
    <row r="22" spans="1:14" ht="19.5">
      <c r="A22" s="14" t="s">
        <v>38</v>
      </c>
      <c r="B22" s="15"/>
      <c r="C22" s="15"/>
      <c r="D22" s="15"/>
      <c r="E22" s="16"/>
      <c r="F22" s="15"/>
      <c r="G22" s="15"/>
      <c r="H22" s="1"/>
      <c r="I22" s="1"/>
      <c r="J22" s="15"/>
      <c r="K22" s="15"/>
      <c r="L22" s="15"/>
      <c r="M22" s="15"/>
      <c r="N22" s="17"/>
    </row>
    <row r="23" spans="1:14" ht="18.75">
      <c r="A23" s="23" t="s">
        <v>36</v>
      </c>
      <c r="B23" s="24"/>
      <c r="C23" s="24"/>
      <c r="D23" s="24"/>
      <c r="E23" s="25"/>
      <c r="F23" s="24"/>
      <c r="G23" s="24"/>
      <c r="H23" s="1"/>
      <c r="I23" s="1"/>
      <c r="J23" s="24"/>
      <c r="K23" s="24"/>
      <c r="L23" s="24"/>
      <c r="M23" s="24"/>
      <c r="N23" s="26"/>
    </row>
    <row r="24" spans="1:14" ht="15">
      <c r="A24" s="18" t="s">
        <v>29</v>
      </c>
      <c r="B24" s="3"/>
      <c r="C24" s="3"/>
      <c r="D24" s="3"/>
      <c r="E24" s="3"/>
      <c r="F24" s="3"/>
      <c r="G24" s="3"/>
      <c r="H24" s="3"/>
      <c r="I24" s="11"/>
      <c r="J24" s="3"/>
      <c r="K24" s="3"/>
      <c r="L24" s="3"/>
      <c r="M24" s="3"/>
      <c r="N24" s="19"/>
    </row>
    <row r="25" spans="1:14" ht="15">
      <c r="A25" s="18" t="s">
        <v>30</v>
      </c>
      <c r="B25" s="3"/>
      <c r="C25" s="3"/>
      <c r="D25" s="3"/>
      <c r="E25" s="3"/>
      <c r="F25" s="3"/>
      <c r="G25" s="20"/>
      <c r="H25" s="3"/>
      <c r="I25" s="12"/>
      <c r="J25" s="3"/>
      <c r="K25" s="3"/>
      <c r="L25" s="3"/>
      <c r="M25" s="3"/>
      <c r="N25" s="19"/>
    </row>
    <row r="26" spans="1:14" ht="15">
      <c r="A26" s="41" t="s">
        <v>31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3"/>
    </row>
    <row r="27" spans="1:14" ht="18" customHeight="1">
      <c r="A27" s="44" t="s">
        <v>32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6"/>
    </row>
    <row r="28" spans="1:14" ht="15.75" customHeight="1">
      <c r="A28" s="44" t="s">
        <v>40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/>
    </row>
    <row r="29" spans="1:14" ht="15">
      <c r="A29" s="27" t="s">
        <v>34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9"/>
    </row>
    <row r="30" spans="1:14" ht="34.5" customHeight="1">
      <c r="A30" s="30" t="s">
        <v>39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2"/>
    </row>
    <row r="31" spans="1:14" ht="1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2"/>
    </row>
    <row r="32" spans="1:14" ht="18.75">
      <c r="A32" s="33" t="s">
        <v>33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/>
  </sheetData>
  <mergeCells count="10">
    <mergeCell ref="A29:N29"/>
    <mergeCell ref="A30:N30"/>
    <mergeCell ref="A31:N31"/>
    <mergeCell ref="A32:N32"/>
    <mergeCell ref="M1:N1"/>
    <mergeCell ref="A6:N6"/>
    <mergeCell ref="A7:N7"/>
    <mergeCell ref="A26:N26"/>
    <mergeCell ref="A27:N27"/>
    <mergeCell ref="A28:N28"/>
  </mergeCells>
  <printOptions horizontalCentered="1"/>
  <pageMargins left="0.27" right="0.2" top="0.54" bottom="0.25" header="0.3" footer="0.3"/>
  <pageSetup paperSize="9" scale="89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Consumption</vt:lpstr>
      <vt:lpstr>Consumption!Print_Area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Kansal</dc:creator>
  <cp:lastModifiedBy>User</cp:lastModifiedBy>
  <cp:lastPrinted>2025-12-06T11:13:56Z</cp:lastPrinted>
  <dcterms:created xsi:type="dcterms:W3CDTF">2024-03-06T12:23:44Z</dcterms:created>
  <dcterms:modified xsi:type="dcterms:W3CDTF">2026-07-10T11:28:01Z</dcterms:modified>
</cp:coreProperties>
</file>